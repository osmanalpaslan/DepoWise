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E884935-95CF-4358-ACDB-1D13C56625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sıl doldurulur" sheetId="1" r:id="rId1"/>
    <sheet name="Kararlar" sheetId="2" r:id="rId2"/>
    <sheet name="Maddeler" sheetId="3" r:id="rId3"/>
  </sheets>
  <definedNames>
    <definedName name="_xlnm._FilterDatabase" localSheetId="1" hidden="1">Kararlar!$A$1:$F$23</definedName>
    <definedName name="_xlnm._FilterDatabase" localSheetId="2" hidden="1">Maddeler!$A$1:$I$86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</calcChain>
</file>

<file path=xl/sharedStrings.xml><?xml version="1.0" encoding="utf-8"?>
<sst xmlns="http://schemas.openxmlformats.org/spreadsheetml/2006/main" count="963" uniqueCount="421">
  <si>
    <t>Alpnex — Seçim Listesi</t>
  </si>
  <si>
    <t/>
  </si>
  <si>
    <t>Kaynak</t>
  </si>
  <si>
    <t>docs/arge/09_yol_haritasi.md (A6 fark analizi, 2026-10-13). Ayrıntı ve gerekçeler o dosyada ve 05_fark_analizi.md'de.</t>
  </si>
  <si>
    <t>NE YAPACAKSIN?</t>
  </si>
  <si>
    <t>1. "Kararlar" sayfası</t>
  </si>
  <si>
    <t>Her satırda SARI renkli "Senin seçimin" hücresine tıkla, açılan listeden seç: "Önerine uyuyorum", "a", "b", "c" ya da "Başka (nota yazdım)".</t>
  </si>
  <si>
    <t>2. "Maddeler" sayfası</t>
  </si>
  <si>
    <t>SARI "Senin seçimin" hücresinden seç: "Önerine uyuyorum", "Evet (yapılsın)", "Hayır (yapılmasın)", "Daha sonra".</t>
  </si>
  <si>
    <t>3. Not sütunu</t>
  </si>
  <si>
    <t>İstersen kendi isteğini, sorunu ya da açıklamanı serbestçe yaz.</t>
  </si>
  <si>
    <t>Boş bırakırsan</t>
  </si>
  <si>
    <t>O satırda bizim önerimizle ilerlenir.</t>
  </si>
  <si>
    <t>Kırmızımsı satırlar</t>
  </si>
  <si>
    <t>"güvenlik/veri — önerimiz zorunlu" maddeleri. Seçmesen de yapılmasını öneriyoruz; yapılmazsa veri kaybı veya güvenlik açığı riski kalır. Yine de karşı görüşünü nota yazabilirsin.</t>
  </si>
  <si>
    <t>Bitince</t>
  </si>
  <si>
    <t>Dosyayı kaydet ve bana "doldurdum" yaz (dosyanın yerini değiştirdiysen yeni yerini de yaz).</t>
  </si>
  <si>
    <t>ÖRNEK SATIR (biçimi göstermek için)</t>
  </si>
  <si>
    <t>Kararlar örneği</t>
  </si>
  <si>
    <t>K-14 · Senin seçimin: b · Notun: "Yalnız operatör saatleri yeter, ad-soyad listesi istemiyorum."</t>
  </si>
  <si>
    <t>Maddeler örneği</t>
  </si>
  <si>
    <t>M-34 · Senin seçimin: Evet (yapılsın) · Notun: "Önce Gölbaşı şantiyesinde deneyelim."</t>
  </si>
  <si>
    <t>KISALTMALAR</t>
  </si>
  <si>
    <t>Öncelik</t>
  </si>
  <si>
    <t>P0 kritik (güvenlik/veri kaybı) · P1 yüksek · P2 orta · P3 düşük</t>
  </si>
  <si>
    <t>İş büyüklüğü</t>
  </si>
  <si>
    <t>S ≤ 1 gün · M 2–5 gün · L 1–2 hafta · XL 2+ hafta (geliştirme + test)</t>
  </si>
  <si>
    <t>ÖZET (otomatik sayılır)</t>
  </si>
  <si>
    <t>Karar: doldurulan</t>
  </si>
  <si>
    <t>Karar: boş (önerimizle)</t>
  </si>
  <si>
    <t>Madde: "Evet (yapılsın)"</t>
  </si>
  <si>
    <t>Madde: "Önerine uyuyorum"</t>
  </si>
  <si>
    <t>Madde: "Hayır (yapılmasın)"</t>
  </si>
  <si>
    <t>Madde: "Daha sonra"</t>
  </si>
  <si>
    <t>Madde: boş (önerimizle)</t>
  </si>
  <si>
    <t>No</t>
  </si>
  <si>
    <t>Konu (ne soruyoruz)</t>
  </si>
  <si>
    <t>Seçenekler ve sonuçları</t>
  </si>
  <si>
    <t>Önerimiz</t>
  </si>
  <si>
    <t>Senin seçimin</t>
  </si>
  <si>
    <t>Notun</t>
  </si>
  <si>
    <t>K-01</t>
  </si>
  <si>
    <t>Hakediş / taşeron — Alpnex hakediş ve taşeron sözleşmesi yapsın mı? (F-140)</t>
  </si>
  <si>
    <t>a) Kendimiz yapalım: çok büyük iş (aylar), uzman programlarla yarışırız. b) Yapmayalım; hakediş programı (Oska vb.) ve Logo/Mikro'ya veri aktaralım (Excel/XML): az iş, müşteri alıştığı programı kullanır. c) Şimdilik hiçbiri.</t>
  </si>
  <si>
    <t>b — Alpnex'in gücü saha (depo, makine, yakıt, zimmet); rakipler orada zayıf.</t>
  </si>
  <si>
    <t>K-02</t>
  </si>
  <si>
    <t>Ön muhasebe ne kadar derin olsun? Çek/senet, döviz kur farkı, e-Fatura dosyası içe alma, Logo/Mikro'ya aktarma (F-141)</t>
  </si>
  <si>
    <t>a) Ön muhasebe kalsın, resmî defter Logo/Mikro'da; aktarım dosyası + e-Fatura XML içe alma ekleyelim. b) Çek/senet ve kur farkını da ekleyelim (büyük iş). c) Bugünkü hâli yeter.</t>
  </si>
  <si>
    <t>a (çek/senet ancak müşteri isterse).</t>
  </si>
  <si>
    <t>K-03</t>
  </si>
  <si>
    <t>e-İrsaliye (elektronik sevk irsaliyesi) gerekli mi? (F-142)</t>
  </si>
  <si>
    <t>a) Önce mali müşavire sor: firma içi depo taşımasında zorunlu mu? b) Yalnız irsaliye no/tarih alanı + dışa aktarım (ucuz). c) Özel entegratör bağlantısı (pahalı, aylık ücret olabilir).</t>
  </si>
  <si>
    <t>a, sonra b; c yalnız zorunluysa.</t>
  </si>
  <si>
    <t>K-04</t>
  </si>
  <si>
    <t>Onayda "son yazan kazanır" (LWW — last write wins) — çevrimdışı çakışmada daha yeni "reddedildi", "onaylandı"yı eziyor; kuralımız bunu yasaklıyor (F-143)</t>
  </si>
  <si>
    <t>a) Kuralı uygula: çakışmada ilk onay kazansın, diğeri çakışma listesine düşsün. b) Mevcut davranış kalsın, kurala "istisna" yazalım.</t>
  </si>
  <si>
    <t>a — onay zaten çevrimiçi yapılıyor; değişiklik küçük, kural tutarlı olur.</t>
  </si>
  <si>
    <t>K-05</t>
  </si>
  <si>
    <t>Negatif stok istisnaları — bakım malzemesi ve açılış stoğu eksiye düşebiliyor (F-144)</t>
  </si>
  <si>
    <t>a) İkisini de kurala "bilinçli istisna" olarak yazalım (bugünkü çalışma bozulmaz). b) Bakımda da eksiyi yasakla (stok yoksa bakım kaydı girilemez). c) Yalnız açılış istisna kalsın.</t>
  </si>
  <si>
    <t>a — sahada parça stoğa girmeden takılabiliyor; ama eksiye düşünce uyarı versin.</t>
  </si>
  <si>
    <t>K-06</t>
  </si>
  <si>
    <t>İki bilgisayar çevrimdışıyken aynı stoğu düşerse ne olsun? (F-145, F-064)</t>
  </si>
  <si>
    <t>a) Kabul et ama "eksi stok oluştu" uyarısı ve listesi üret (kimse kaydını kaybetmez). b) Sonradan gelen kaydı reddet (o kullanıcının kaydı geri döner). c) Bugünkü gibi sessiz kalsın.</t>
  </si>
  <si>
    <t>a.</t>
  </si>
  <si>
    <t>K-07</t>
  </si>
  <si>
    <t>Yakıt / bakım / talep kayıtlarında çakışma — iki yerde düzenlenen kayıtta son yazan kazanıyor (F-146)</t>
  </si>
  <si>
    <t>a) Kuralı uygula: ezme yok, çakışma listesine düşsün, yönetici seçsin. b) Mevcut kalsın, istisna yaz.</t>
  </si>
  <si>
    <t>K-08</t>
  </si>
  <si>
    <t>Web'de çift tıklama = çift kayıt (yakıt/bakım) — bir test bunu "normal" sayıyor (F-147)</t>
  </si>
  <si>
    <t>a) Düzelt: aynı işlem iki kez gelse de tek kayıt. b) Bırak.</t>
  </si>
  <si>
    <t>a — güvenlik/veri, önerimiz zorunlu.</t>
  </si>
  <si>
    <t>K-09</t>
  </si>
  <si>
    <t>Fatura stoğa girsin mi? "Stoğu etkilesin" varsayılan açık; aynı mal mal kabulle de girerse çift stok oluşur (F-148)</t>
  </si>
  <si>
    <t>a) Kısa vade: siparişe bağlı malda varsayılan kapalı + çift giriş uyarısı; uzun vade: faturayı mal kabulden oluştur. b) Varsayılanı her zaman kapat. c) Bugünkü gibi kalsın.</t>
  </si>
  <si>
    <t>K-10</t>
  </si>
  <si>
    <t>Düğme sırası — formlarda "İptal … Kaydet" (Kaydet en sağda) (F-149)</t>
  </si>
  <si>
    <t>a) Kaydet en sağda (bugünkü çoğunluk + web aynı). b) Windows kuralı: Kaydet solda.</t>
  </si>
  <si>
    <t>a — kullanıcılar alışık; aykırı 3–4 ekran düzeltilir.</t>
  </si>
  <si>
    <t>K-11</t>
  </si>
  <si>
    <t>Ana düğme rengi — sabit kehribar (turuncu-sarı) mı, kullanıcının seçtiği vurgu rengi mi? (F-150)</t>
  </si>
  <si>
    <t>a) Sabit marka rengi kalsın. b) Kullanıcı rengini izlesin.</t>
  </si>
  <si>
    <t>a (marka tutarlılığı); kullanıcı rengi yalnız menü/ikonlarda.</t>
  </si>
  <si>
    <t>K-12</t>
  </si>
  <si>
    <t>.NET 10'a geçiş zamanı — .NET 8 güvenlik desteği 10 Kasım 2026'da bitiyor (F-151)</t>
  </si>
  <si>
    <t>a) Hemen başla: önce sunucu + web, sonra masaüstü; dalda hazır, yayın senin kararınla. b) Kasım sonrasına bırak (yamasız dönem).</t>
  </si>
  <si>
    <t>K-13</t>
  </si>
  <si>
    <t>Kayıt onay penceresi — fatura/tahsilat onay sormuyor, yakıt her kayıtta soruyor (F-152)</t>
  </si>
  <si>
    <t>a) Para işlemlerinde her zaman sor; toplu girişte (yakıt tablosu) sonda tek onay. b) Her kayıtta sor. c) Hiçbirinde sorma.</t>
  </si>
  <si>
    <t>K-14</t>
  </si>
  <si>
    <t>Şantiye personel puantajı (kim kaç saat çalıştı) eklensin mi? Bordro hariç (F-153)</t>
  </si>
  <si>
    <t>a) Şimdilik hayır. b) Makine-operatör saatiyle birlikte basit puantaj.</t>
  </si>
  <si>
    <t>a (önce makine saatleri, F-086).</t>
  </si>
  <si>
    <t>K-15</t>
  </si>
  <si>
    <t>Giriş ekranında firma listesi herkese açık (müşteri adları görünüyor) (F-154)</t>
  </si>
  <si>
    <t>a) "Firma kodu" ile giriş, liste gizli. b) Bırak.</t>
  </si>
  <si>
    <t>K-16</t>
  </si>
  <si>
    <t>GitHub deposu herkese açık — iç belgeler ve müşteri adı görünüyor (F-155)</t>
  </si>
  <si>
    <t>a) Özel yap (ücretsiz dakika yetiyorsa maliyet yok; önce ölçeriz). b) Açık kalsın, hassas belgeleri temizleyelim.</t>
  </si>
  <si>
    <t>a — ödeme gerekirse önce sana sorarız.</t>
  </si>
  <si>
    <t>K-17</t>
  </si>
  <si>
    <t>Zorunlu güncelleme — kullanıcı güncellemeyi sonsuza dek erteleyebiliyor (F-156)</t>
  </si>
  <si>
    <t>a) En fazla 7 gün ertelensin, kritik güvenlik güncellemesi hemen zorunlu. b) Erteleme serbest kalsın.</t>
  </si>
  <si>
    <t>K-18</t>
  </si>
  <si>
    <t>Hatırlatmalar nasıl gitsin? (bakım, muayene, sigorta, kira bitişi — bilgisayar kapalıyken de) (F-157)</t>
  </si>
  <si>
    <t>a) Uygulama içi bildirim (ücretsiz). b) + e-posta (SMTP — e-posta gönderim servisi, küçük ücret olabilir).</t>
  </si>
  <si>
    <t>a, sonra istenirse b.</t>
  </si>
  <si>
    <t>K-19</t>
  </si>
  <si>
    <t>Kiralık makine bedeli otomatik olarak kiralayan firmanın cari hesabına borç yazılsın mı? (F-158)</t>
  </si>
  <si>
    <t>a) Hayır, yalnız maliyet raporu; borç fatura gelince. b) Evet, her dönem otomatik borç (fatura gelince eşleşir).</t>
  </si>
  <si>
    <t>a (çift kayıt riski yok).</t>
  </si>
  <si>
    <t>K-20</t>
  </si>
  <si>
    <t>Güncelleme paketi imzalama + süper admin için iki adımlı giriş (MFA — çok adımlı doğrulama) — yayın mekanizması değişikliği senin onayını ister (F-030)</t>
  </si>
  <si>
    <t>a) Onaylıyorum: paketler imzalansın; telefonuna doğrulama uygulaması (ör. Google Authenticator) kurman gerekecek. b) Şimdi değil.</t>
  </si>
  <si>
    <t>K-21</t>
  </si>
  <si>
    <t>Belge numarası biçimi — iki bilgisayar internetsizken aynı numarayı (ör. fatura 42) veriyor, biri sessizce kayboluyor (F-190, F-172)</t>
  </si>
  <si>
    <t>a) Numaraya bilgisayar kodu eklensin: TLP-2026-A3-0042 (çakışmaz; numaralar tek sıra olmaz). b) İnternetsizken "geçici numara", sunucu kesin numarayı verir (çıktıda "geçici" yazar; çevrimdışı basılan belge sonra değişir). c) Bugünkü gibi (kayıp riski sürer).</t>
  </si>
  <si>
    <t>a — basit, hiç kayıp yok; şube kodu da eklenebilir.</t>
  </si>
  <si>
    <t>K-22</t>
  </si>
  <si>
    <t>Aynı malzeme/araç kodu iki bilgisayarda açılırsa ne olsun? (F-172)</t>
  </si>
  <si>
    <t>a) İkinci kayıt "kod çakışması" listesine düşsün, kullanıcı yeni kod versin (veri kaybolmaz). b) Sistem otomatik ek koysun (MLZ-100-2).</t>
  </si>
  <si>
    <t>a — mükerrer kart oluşmaz.</t>
  </si>
  <si>
    <t>Konu başlığı</t>
  </si>
  <si>
    <t>Madde</t>
  </si>
  <si>
    <t>Kazancın</t>
  </si>
  <si>
    <t>M-01</t>
  </si>
  <si>
    <t>Güvenlik &amp; veri bütünlüğü</t>
  </si>
  <si>
    <t>Güncelleme paketlerini dijital imzala + süper admine MFA (F-030)</t>
  </si>
  <si>
    <t>Şifre çalınsa bile kimse sahte güncelleme dağıtamaz</t>
  </si>
  <si>
    <t>P0</t>
  </si>
  <si>
    <t>M</t>
  </si>
  <si>
    <t>güvenlik/veri — önerimiz zorunlu</t>
  </si>
  <si>
    <t>M-02</t>
  </si>
  <si>
    <t>Eşitlemede başka firmanın kaydını ezme açığını kapat (F-031)</t>
  </si>
  <si>
    <t>Firmalar arası veri karışması imkânsız olur</t>
  </si>
  <si>
    <t>S</t>
  </si>
  <si>
    <t>M-03</t>
  </si>
  <si>
    <t>Eşitleme imleci: bilgisayar saatine bağlılığı kaldır + her turda tüm verinin yeniden inmesini düzelt (ikisi birlikte) (F-032, F-038, F-173)</t>
  </si>
  <si>
    <t>Kayıt kaybolmaz; eşitleme trafiği yüzlerce kat azalır</t>
  </si>
  <si>
    <t>M–L</t>
  </si>
  <si>
    <t>M-78</t>
  </si>
  <si>
    <t>İnternetsiz iki bilgisayarın aynı numarayı vermesiyle kaybolan kayıtları önle (F-172, K-21, K-22)</t>
  </si>
  <si>
    <t>Hiçbir fatura/belge sessizce kaybolmaz</t>
  </si>
  <si>
    <t>M-04</t>
  </si>
  <si>
    <t>Web'de çift tıklamada çift yakıt/bakım kaydını engelle (F-033, F-147, F-044)</t>
  </si>
  <si>
    <t>Maliyet ve stok iki kez düşmez</t>
  </si>
  <si>
    <t>M-05</t>
  </si>
  <si>
    <t>Stok/cari/kasa hareketlerinin eşitlemeyle değiştirilmesini engelle (F-034)</t>
  </si>
  <si>
    <t>Geçmiş hareketler iz bırakmadan değişemez</t>
  </si>
  <si>
    <t>S–M</t>
  </si>
  <si>
    <t>M-06</t>
  </si>
  <si>
    <t>Masaüstü işlem geçmişini (kim ne yaptı) sunucuya gönder (F-035)</t>
  </si>
  <si>
    <t>Yönetici web'den her şeyi görür; bilgisayar bozulsa da kanıt kalır</t>
  </si>
  <si>
    <t>M-07</t>
  </si>
  <si>
    <t>Veritabanı kütüphanesindeki bilinen güvenlik açığını kapat (F-036)</t>
  </si>
  <si>
    <t>Bilinen açık kapanır</t>
  </si>
  <si>
    <t>M-08</t>
  </si>
  <si>
    <t>Yedekleri şifrele, günlük ve otomatik al; geri dönüş provası (F-037, F-027)</t>
  </si>
  <si>
    <t>En kötü durumda 1 günlük kayıp; yedek çalınsa okunamaz</t>
  </si>
  <si>
    <t>M-09</t>
  </si>
  <si>
    <t>Şube yetkisi kaldırılan kullanıcının bilgisayarından o şubenin verisini temizle (F-040)</t>
  </si>
  <si>
    <t>Yetkisi alınan kişi eski veriyi göremez</t>
  </si>
  <si>
    <t>P1</t>
  </si>
  <si>
    <t>Önerilir</t>
  </si>
  <si>
    <t>M-10</t>
  </si>
  <si>
    <t>Oturum iptali: şifre değişince eski oturumlar kapansın (F-066)</t>
  </si>
  <si>
    <t>Çalınan oturum geçersiz olur</t>
  </si>
  <si>
    <t>M-11</t>
  </si>
  <si>
    <t>Web girişinde bir kişinin hatası herkesi kilitlemesin (F-041, F-051)</t>
  </si>
  <si>
    <t>Sabah toplu girişte kilitlenme olmaz</t>
  </si>
  <si>
    <t>M-12</t>
  </si>
  <si>
    <t>Zorunlu güncelleme (min. sürüm) (F-042, K-17)</t>
  </si>
  <si>
    <t>Çok eski sürümler yanlış veri yazamaz</t>
  </si>
  <si>
    <t>M-13</t>
  </si>
  <si>
    <t>Küçük güvenlik düzeltmeleri: parola özeti, CORS, log maskeleme, firma listesi gizleme (F-107, F-110, F-050, F-049, F-154)</t>
  </si>
  <si>
    <t>Saldırı yüzeyi daralır</t>
  </si>
  <si>
    <t>P2</t>
  </si>
  <si>
    <t>M-14</t>
  </si>
  <si>
    <t>Excel içe aktarmayı geri alınabilir yap (F-063)</t>
  </si>
  <si>
    <t>Yarım kalan aktarım tek tuşla temizlenir</t>
  </si>
  <si>
    <t>M-15</t>
  </si>
  <si>
    <t>Eşitleme &amp; çevrimdışı</t>
  </si>
  <si>
    <t>Sunucunun reddettiği / gönderilemeyen kayıtları sakla, ekranda göster, düzeltince yeniden gönder (F-174, F-065)</t>
  </si>
  <si>
    <t>"Kaydettim sanıyordum" kaybı biter</t>
  </si>
  <si>
    <t>M-79</t>
  </si>
  <si>
    <t>"Yereli sıfırla" önce bekleyen kayıtları göndersin (F-175)</t>
  </si>
  <si>
    <t>Sıfırlamada iş kaybolmaz</t>
  </si>
  <si>
    <t>M-80</t>
  </si>
  <si>
    <t>Sunucu yedekten dönerse bilgisayarlar aradaki kayıtları yeniden göndersin (F-176)</t>
  </si>
  <si>
    <t>Felakette masaüstündeki günler kaybolmaz</t>
  </si>
  <si>
    <t>M-16</t>
  </si>
  <si>
    <t>Çevrimdışı eksi stok oluşunca uyarı ve liste (F-064, K-06)</t>
  </si>
  <si>
    <t>Eksi stoğun kaynağı hemen bulunur</t>
  </si>
  <si>
    <t>M-17</t>
  </si>
  <si>
    <t>İlk/tam eşitlemeyi parça parça, sıkıştırılmış ve kaldığı yerden sürdür (bugün 567 MB tek paket, sunucuda ~4,9 GB bellek ister) (F-039, F-180)</t>
  </si>
  <si>
    <t>Sunucu çökmez; büyük firmada kurulum biter</t>
  </si>
  <si>
    <t>M-18</t>
  </si>
  <si>
    <t>Yakıt/bakım/onay çakışmalarında ezme yerine çakışma listesi (F-143, F-146, K-04, K-07)</t>
  </si>
  <si>
    <t>Düzeltilen kayıt sessizce eski hâline dönmez</t>
  </si>
  <si>
    <t>M-19</t>
  </si>
  <si>
    <t>Yedekten geri dönerken gönderilmemiş kayıtları koru (F-043)</t>
  </si>
  <si>
    <t>Geri yüklemede iş kaybı olmaz</t>
  </si>
  <si>
    <t>M-20</t>
  </si>
  <si>
    <t>Yerel veritabanı bakımı + istatistik (ölçüldü: bazı sorgular 1,7 sn → anında) (F-068)</t>
  </si>
  <si>
    <t>Hızlı kazanç, program yavaşlamaz</t>
  </si>
  <si>
    <t>M-81</t>
  </si>
  <si>
    <t>Sonradan eşitlemeye eklenen tabloların eski kayıtlarını bir kez gönder (F-181)</t>
  </si>
  <si>
    <t>Gözden kaçmış eski kayıtlar sunucuya ulaşır</t>
  </si>
  <si>
    <t>M-82</t>
  </si>
  <si>
    <t>Aynı kaydın iki bilgisayarda ayrı girilmesine "olası mükerrer" uyarısı (F-183)</t>
  </si>
  <si>
    <t>Çift fatura yakalanır</t>
  </si>
  <si>
    <t>İsteğe bağlı</t>
  </si>
  <si>
    <t>M-83</t>
  </si>
  <si>
    <t>Program/sunucu sürüm uyumu kontrolü + güncelleme öncesi otomatik yedek (F-184, F-185, F-182, F-186)</t>
  </si>
  <si>
    <t>Sürüm farkında veri düşmez</t>
  </si>
  <si>
    <t>M-21</t>
  </si>
  <si>
    <t>Performans</t>
  </si>
  <si>
    <t>Eşitlemede tüm stok defteri yerine yalnız değişenleri hesapla (bugün 12,1 sn + yazma kilidi) (F-108)</t>
  </si>
  <si>
    <t>Kayıt sırasında "veritabanı kilitli" hatası olmaz</t>
  </si>
  <si>
    <t>M-84</t>
  </si>
  <si>
    <t>Masaüstü eşitlemede sıkıştırma (gzip) kullanılsın (567 → 102 MB) (F-180)</t>
  </si>
  <si>
    <t>Hızlı kazanç: 5 kat az trafik</t>
  </si>
  <si>
    <t>M-85</t>
  </si>
  <si>
    <t>Malzeme/günlük faaliyet ekranı açılışındaki karesel yavaşlığı düzelt (40 bin satırda 23–50 sn) (F-177)</t>
  </si>
  <si>
    <t>Ekran açılışı anında</t>
  </si>
  <si>
    <t>M-22</t>
  </si>
  <si>
    <t>Liste sayfaları ve aramayı hızlandır (bugün 300 bin kayıtta sayfa 7–10 sn, arama 5–6 sn) (F-178, F-111, F-025)</t>
  </si>
  <si>
    <t>Her sayfa anında açılır</t>
  </si>
  <si>
    <t>M-23</t>
  </si>
  <si>
    <t>Sunucunun her yoklamada tüm tabloları taramasını ve gereksiz uyandırmayı bitir (5,1 sn/yoklama) (F-179, F-112, F-049)</t>
  </si>
  <si>
    <t>Sunucu ve internet yükü düşer</t>
  </si>
  <si>
    <t>M-24</t>
  </si>
  <si>
    <t>İş akışları (stok / satınalma / talep)</t>
  </si>
  <si>
    <t>Fatura–mal kabul çift stok uyarısı (F-045, K-09)</t>
  </si>
  <si>
    <t>Aynı mal iki kez stoğa girmez</t>
  </si>
  <si>
    <t>M-25</t>
  </si>
  <si>
    <t>Faturayı mal kabulden oluştur + sipariş-kabul-fatura eşleştirme (F-072, F-059)</t>
  </si>
  <si>
    <t>Fatura yeniden yazılmaz, fazla ödeme yakalanır</t>
  </si>
  <si>
    <t>L</t>
  </si>
  <si>
    <t>M-26</t>
  </si>
  <si>
    <t>Talepten tek tıkla "stoktan gönder" ya da "sipariş aç"; talep formunda mevcut stok (F-071)</t>
  </si>
  <si>
    <t>Talep kalemi üç kez yazılmaz; merkezdeki mal tekrar alınmaz</t>
  </si>
  <si>
    <t>M-27</t>
  </si>
  <si>
    <t>İki adımlı transfer: gönder → teslim al, "yolda" görünümü (F-070, F-058)</t>
  </si>
  <si>
    <t>Şantiyeler arası kayıp görünür</t>
  </si>
  <si>
    <t>M-28</t>
  </si>
  <si>
    <t>Sayım iyileştirme: kör sayım, taslak, fark onayı, masaüstünde tablo (F-075)</t>
  </si>
  <si>
    <t>Sayım hızlı ve dürüst olur</t>
  </si>
  <si>
    <t>M-29</t>
  </si>
  <si>
    <t>Sipariş ve iş emri numarası otomatik (F-073)</t>
  </si>
  <si>
    <t>Numara çakışması biter</t>
  </si>
  <si>
    <t>M-30</t>
  </si>
  <si>
    <t>Ay kapanışı: geçmiş tarihe kayıt kilidi (F-076)</t>
  </si>
  <si>
    <t>Kapanmış ayın raporu değişmez</t>
  </si>
  <si>
    <t>M-31</t>
  </si>
  <si>
    <t>Depo bazında asgari stok + satın alma öneri listesi (F-114)</t>
  </si>
  <si>
    <t>Kritik malzeme bitmeden haber alırsın</t>
  </si>
  <si>
    <t>M-32</t>
  </si>
  <si>
    <t>Mal kabulde irsaliye no + düzeltme izi (F-113)</t>
  </si>
  <si>
    <t>Parçalı teslim izlenir; e-İrsaliye'ye hazırlık</t>
  </si>
  <si>
    <t>M-33</t>
  </si>
  <si>
    <t>Tek onay ekranı, kalemleri görerek onay, toplu onay, tutar eşiği (F-115, F-092)</t>
  </si>
  <si>
    <t>Onaycı tek yerden hızlı karar verir</t>
  </si>
  <si>
    <t>M-34</t>
  </si>
  <si>
    <t>Filo / bakım / yakıt</t>
  </si>
  <si>
    <t>Toplu yakıt dağıtımı (tablo, sonda tek onay) (F-074, K-13)</t>
  </si>
  <si>
    <t>25 araçlık dağıtım dakikalar yerine saniyeler</t>
  </si>
  <si>
    <t>M-35</t>
  </si>
  <si>
    <t>Araç kartından "Arıza bildir" → bakım/iş emri; uyarıdan iş başlatma (F-077)</t>
  </si>
  <si>
    <t>Arıza unutulmaz, arıza süresi ölçülür</t>
  </si>
  <si>
    <t>M-36</t>
  </si>
  <si>
    <t>Sayaç kuralları: hatalı okumayı "geçersiz say", eski sayaç uyarısı, sayaç geçmişi (F-078)</t>
  </si>
  <si>
    <t>Bakım uyarıları doğru çıkar</t>
  </si>
  <si>
    <t>M-37</t>
  </si>
  <si>
    <t>Bakım planı: tarih + km + saat birlikte; kapanışta sayaç zorunlu (F-079)</t>
  </si>
  <si>
    <t>Hiçbir bakım kaçmaz</t>
  </si>
  <si>
    <t>M-38</t>
  </si>
  <si>
    <t>Bakım durumu (arızalı → bekliyor → tamam) + duruş süresi raporu (F-080)</t>
  </si>
  <si>
    <t>Makine ne kadar yattı görürsün</t>
  </si>
  <si>
    <t>M-39</t>
  </si>
  <si>
    <t>Kiralık makine sözleşmesi: kiralayan cari, dönem maliyeti, bitiş uyarısı (F-084, K-19)</t>
  </si>
  <si>
    <t>Kira maliyeti kendiliğinden izlenir</t>
  </si>
  <si>
    <t>M-40</t>
  </si>
  <si>
    <t>Makine iç kira fiyatıyla şantiye maliyeti (F-085, F-086)</t>
  </si>
  <si>
    <t>Her şantiyenin gerçek makine maliyeti</t>
  </si>
  <si>
    <t>İsteğe bağlı (K-02'ye bağlı)</t>
  </si>
  <si>
    <t>M-41</t>
  </si>
  <si>
    <t>Yasal periyodik kontrol (vinç, forklift) alanları ve uyarı (F-116)</t>
  </si>
  <si>
    <t>Denetimde belge hazır</t>
  </si>
  <si>
    <t>M-42</t>
  </si>
  <si>
    <t>Bilgisayar kapalıyken de bakım/muayene/sigorta hatırlatması (F-069, K-18)</t>
  </si>
  <si>
    <t>Sigorta/muayene kaçmaz</t>
  </si>
  <si>
    <t>M-43</t>
  </si>
  <si>
    <t>Günlük makine kontrol listesi (F-087)</t>
  </si>
  <si>
    <t>İSG açısından kayıt</t>
  </si>
  <si>
    <t>P3</t>
  </si>
  <si>
    <t>M-44</t>
  </si>
  <si>
    <t>Yakıtta şüpheli girişleri otomatik işaretleme (F-117)</t>
  </si>
  <si>
    <t>Hatalı litre raporu bozmaz</t>
  </si>
  <si>
    <t>M-45</t>
  </si>
  <si>
    <t>Ataşman/ikincil sayaç, ekipman rezervasyonu (F-089, F-088)</t>
  </si>
  <si>
    <t>Büyük filoda planlama</t>
  </si>
  <si>
    <t>Önerilmez (şimdilik)</t>
  </si>
  <si>
    <t>M-46</t>
  </si>
  <si>
    <t>Zimmet / ekipman</t>
  </si>
  <si>
    <t>Zimmette iade tarihi, gecikme uyarısı, personel kartında zimmetler (F-081)</t>
  </si>
  <si>
    <t>Alet kaybı azalır; ayrılan personelin zimmeti görünür</t>
  </si>
  <si>
    <t>M-47</t>
  </si>
  <si>
    <t>Kişi bazlı imzalı zimmet tutanağı (F-082)</t>
  </si>
  <si>
    <t>"Almadım" itirazına kanıt</t>
  </si>
  <si>
    <t>M-48</t>
  </si>
  <si>
    <t>Ekipman taşıma hareketi ve konum geçmişi (F-058)</t>
  </si>
  <si>
    <t>Ekipman nerede, ne zaman taşındı belli</t>
  </si>
  <si>
    <t>Önerilir (M-27 ile)</t>
  </si>
  <si>
    <t>M-49</t>
  </si>
  <si>
    <t>Formda QR okutarak araç/alet seçme (F-139, F-026)</t>
  </si>
  <si>
    <t>Sahada hızlı ve hatasız giriş</t>
  </si>
  <si>
    <t>M-50</t>
  </si>
  <si>
    <t>Zimmet talebi ve kit (set) şablonu (F-083)</t>
  </si>
  <si>
    <t>Toplu alet teslimi</t>
  </si>
  <si>
    <t>M-51</t>
  </si>
  <si>
    <t>Ön muhasebe</t>
  </si>
  <si>
    <t>Fatura/tahsilat kaydında onay (F-053, K-13)</t>
  </si>
  <si>
    <t>Para işleminde yanlış kayıt azalır</t>
  </si>
  <si>
    <t>M-52</t>
  </si>
  <si>
    <t>Logo/Mikro'ya aktarım dosyası + e-Fatura XML içe alma (F-141, K-02)</t>
  </si>
  <si>
    <t>Muhasebeye çift giriş biter</t>
  </si>
  <si>
    <t>Önerilir (K-02=a ise)</t>
  </si>
  <si>
    <t>M-53</t>
  </si>
  <si>
    <t>Tedarikçiyi tek yerde tut (Tanımlar ↔ Cari birleşimi) (F-059)</t>
  </si>
  <si>
    <t>Mükerrer tedarikçi olmaz</t>
  </si>
  <si>
    <t>M-54</t>
  </si>
  <si>
    <t>Raporlama &amp; liste standartları</t>
  </si>
  <si>
    <t>Her listede arama, sıralama, Excel, Yazdır, tek tip sayfa (F-057)</t>
  </si>
  <si>
    <t>Her ekranda aynı araçları bulursun</t>
  </si>
  <si>
    <t>M-55</t>
  </si>
  <si>
    <t>Web ↔ masaüstü eksiklerini kapat (Yazdır, QR, zorunlu alan, geçmiş) (F-054, F-055, F-056)</t>
  </si>
  <si>
    <t>İki ortam gerçekten aynı</t>
  </si>
  <si>
    <t>M-56</t>
  </si>
  <si>
    <t>Kayıt ekranında Geçmiş · Belgeler · Hareketler sekmesi; satırdan kaynağa git (F-090)</t>
  </si>
  <si>
    <t>"Bu stok neden 12?" tek ekranda</t>
  </si>
  <si>
    <t>M-57</t>
  </si>
  <si>
    <t>Yeni raporlar: makine kullanım oranı, birim maliyet, ay sonu stok değeri, eksi stok (F-091)</t>
  </si>
  <si>
    <t>Yönetici kararları kolaylaşır</t>
  </si>
  <si>
    <t>M-58</t>
  </si>
  <si>
    <t>Rapor kayıtlı görünüm + PDF (F-122)</t>
  </si>
  <si>
    <t>Sık raporu tek tıkla</t>
  </si>
  <si>
    <t>M-59</t>
  </si>
  <si>
    <t>Tasarım sistemi &amp; ekranlar</t>
  </si>
  <si>
    <t>Renk/yazı düzeni: okunaklı yazı, açık tema kontrastı, tek font (F-125, F-061, K-11)</t>
  </si>
  <si>
    <t>Göz yormayan, okunur ekran</t>
  </si>
  <si>
    <t>M-60</t>
  </si>
  <si>
    <t>Ortak ekran parçaları: başlık, filtre çubuğu, seçim çubuğu, tek sayfalama, sağ panel (F-126)</t>
  </si>
  <si>
    <t>Her ekran aynı düzende</t>
  </si>
  <si>
    <t>M-61</t>
  </si>
  <si>
    <t>Düğme sırası/tek ana düğme kuralı (F-060, K-10)</t>
  </si>
  <si>
    <t>Yanlış düğmeye basma azalır</t>
  </si>
  <si>
    <t>M-62</t>
  </si>
  <si>
    <t>Klavye kısayolları, yükleniyor göstergesi, "kaydedildi" bildirimi, ekran okuyucu etiketleri (F-093, F-094, F-095, F-096)</t>
  </si>
  <si>
    <t>Hızlı ve anlaşılır kullanım</t>
  </si>
  <si>
    <t>M-63</t>
  </si>
  <si>
    <t>İşlem ekranlarını yenile: Giriş-Çıkış, Zimmet, Sayım, Yakıt (F-128)</t>
  </si>
  <si>
    <t>Form küçük, liste büyük; hızlı giriş</t>
  </si>
  <si>
    <t>M-64</t>
  </si>
  <si>
    <t>Liste ekranlarını yenile: Malzeme, Araç, Cari, Talep, Fatura, Rapor (F-129)</t>
  </si>
  <si>
    <t>Modern ve tutarlı ekranlar</t>
  </si>
  <si>
    <t>XL</t>
  </si>
  <si>
    <t>M-65</t>
  </si>
  <si>
    <t>Tanım ekranları, ana ekran; "sık" görünüm seçeneği (F-130, F-127)</t>
  </si>
  <si>
    <t>Küçük iyileştirmeler</t>
  </si>
  <si>
    <t>M-66</t>
  </si>
  <si>
    <t>Test &amp; kalite</t>
  </si>
  <si>
    <t>Testlerin çökmeyi "geçti" saymasını ve atlanan testleri gizlemesini düzelt (F-046, F-047)</t>
  </si>
  <si>
    <t>"Testler geçti" gerçekten güvenilir olur</t>
  </si>
  <si>
    <t>M-67</t>
  </si>
  <si>
    <t>Tüm API uçlarına otomatik yetki taraması (F-018)</t>
  </si>
  <si>
    <t>Yeni ekranda yetki unutulursa hemen yakalanır</t>
  </si>
  <si>
    <t>M-68</t>
  </si>
  <si>
    <t>Çevrimdışı uçtan uca test: iki bilgisayar + sunucu (F-019, F-145)</t>
  </si>
  <si>
    <t>Ürünün ana özelliği kanıtlanır</t>
  </si>
  <si>
    <t>M-69</t>
  </si>
  <si>
    <t>Web'de kayıt akışlarını tarayıcıyla test (yerel ortamda) (F-022)</t>
  </si>
  <si>
    <t>Web form hataları yayından önce yakalanır</t>
  </si>
  <si>
    <t>M-70</t>
  </si>
  <si>
    <t>Masaüstü/web/rapor sonuçları aynı mı testi; gerçek boyutta migration provası; ekran testlerine eşik (F-021, F-020, F-023, F-024)</t>
  </si>
  <si>
    <t>Sürprizsiz yayın</t>
  </si>
  <si>
    <t>M-71</t>
  </si>
  <si>
    <t>Teknik borç / altyapı</t>
  </si>
  <si>
    <t>.NET 10'a geçiş (K-12) (F-151)</t>
  </si>
  <si>
    <t>Güvenlik yamaları sürer</t>
  </si>
  <si>
    <t>Önerilir (son tarih 10.11.2026)</t>
  </si>
  <si>
    <t>M-72</t>
  </si>
  <si>
    <t>Sunucu sağlık kontrolü + disk dolma alarmı (F-067)</t>
  </si>
  <si>
    <t>Kilitlenmede otomatik toparlanır</t>
  </si>
  <si>
    <t>M-73</t>
  </si>
  <si>
    <t>Kullanılmayan paket/kod temizliği (F-100–F-105)</t>
  </si>
  <si>
    <t>Bakım ve güvenlik yükü azalır</t>
  </si>
  <si>
    <t>M-74</t>
  </si>
  <si>
    <t>Avalonia 12.1 yükseltmesi (F-131)</t>
  </si>
  <si>
    <t>Güncel arayüz altyapısı</t>
  </si>
  <si>
    <t>Önerilir (.NET 10'dan sonra)</t>
  </si>
  <si>
    <t>M-75</t>
  </si>
  <si>
    <t>Büyük dosyaları bölme, tipli web-API bağlantısı (F-132–F-136)</t>
  </si>
  <si>
    <t>Geliştirme güvenliği artar</t>
  </si>
  <si>
    <t>L–XL</t>
  </si>
  <si>
    <t>M-76</t>
  </si>
  <si>
    <t>Belgeleri güncelle (F-062)</t>
  </si>
  <si>
    <t>Doğru bilgiyle geliştirme</t>
  </si>
  <si>
    <t>M-77</t>
  </si>
  <si>
    <t>Hakediş, puantaj, telematik, bütçe (F-140, F-153, F-164, F-098)</t>
  </si>
  <si>
    <t>—</t>
  </si>
  <si>
    <t>Önerilmez (şimdilik; K-01/K-14 kararına bağlı)</t>
  </si>
  <si>
    <t>b seçeneği uygun.</t>
  </si>
  <si>
    <t>a seçeneği uygun.</t>
  </si>
  <si>
    <t>sadece süper adminse firma bilgileri listeleniyor. Diğer firma kullanıcılarına süper admin kullanıcısı verilmeycek. Kısaca bu bir sorun değil.</t>
  </si>
  <si>
    <t>makineyi hem firma bizden kiralayabilir(bu nadir bir durum), genel olarak inşaat firmaları bu prohramı kullanacakları için diğer firmalardan programı kullanan şirket kiralama yapar. A seçeneği uygun ama hangi durum var ise borç çift yönlü işlemeli.</t>
  </si>
  <si>
    <t>b seçeneği uygun. Ama bunu projeyi gerçekten canlıya alıncağı zaman hatırlatılacak maddeler arasına kaydet.</t>
  </si>
  <si>
    <t>Önerine uyuyorum</t>
  </si>
  <si>
    <t>Hayır (yapılmasın)</t>
  </si>
  <si>
    <t>Evet (yapılsın)</t>
  </si>
  <si>
    <t>Daha sonra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</si>
</sst>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2" sqref="B22"/>
    </sheetView>
  </sheetViews>
  <sheetFormatPr defaultRowHeight="15" x14ac:dyDescent="0.25"/>
  <cols>
    <col min="1" max="1" width="30" customWidth="1"/>
    <col min="2" max="2" width="95" customWidth="1"/>
  </cols>
  <sheetData>
    <row r="1" spans="1:2" ht="36" x14ac:dyDescent="0.25">
      <c r="A1" s="1" t="s">
        <v>0</v>
      </c>
      <c r="B1" s="1" t="s">
        <v>1</v>
      </c>
    </row>
    <row r="2" spans="1:2" ht="25.5" x14ac:dyDescent="0.25">
      <c r="A2" s="2" t="s">
        <v>2</v>
      </c>
      <c r="B2" s="2" t="s">
        <v>3</v>
      </c>
    </row>
    <row r="3" spans="1:2" x14ac:dyDescent="0.25">
      <c r="A3" s="2" t="s">
        <v>1</v>
      </c>
      <c r="B3" s="2" t="s">
        <v>1</v>
      </c>
    </row>
    <row r="4" spans="1:2" x14ac:dyDescent="0.25">
      <c r="A4" s="3" t="s">
        <v>4</v>
      </c>
      <c r="B4" s="3" t="s">
        <v>1</v>
      </c>
    </row>
    <row r="5" spans="1:2" ht="25.5" x14ac:dyDescent="0.25">
      <c r="A5" s="2" t="s">
        <v>5</v>
      </c>
      <c r="B5" s="2" t="s">
        <v>6</v>
      </c>
    </row>
    <row r="6" spans="1:2" ht="25.5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ht="25.5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</v>
      </c>
      <c r="B11" s="2" t="s">
        <v>1</v>
      </c>
    </row>
    <row r="12" spans="1:2" ht="25.5" x14ac:dyDescent="0.25">
      <c r="A12" s="3" t="s">
        <v>17</v>
      </c>
      <c r="B12" s="3" t="s">
        <v>1</v>
      </c>
    </row>
    <row r="13" spans="1:2" x14ac:dyDescent="0.25">
      <c r="A13" s="2" t="s">
        <v>18</v>
      </c>
      <c r="B13" s="2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2" t="s">
        <v>1</v>
      </c>
      <c r="B15" s="2" t="s">
        <v>1</v>
      </c>
    </row>
    <row r="16" spans="1:2" x14ac:dyDescent="0.25">
      <c r="A16" s="3" t="s">
        <v>22</v>
      </c>
      <c r="B16" s="3" t="s">
        <v>1</v>
      </c>
    </row>
    <row r="17" spans="1:2" x14ac:dyDescent="0.25">
      <c r="A17" s="2" t="s">
        <v>23</v>
      </c>
      <c r="B17" s="2" t="s">
        <v>24</v>
      </c>
    </row>
    <row r="18" spans="1:2" x14ac:dyDescent="0.25">
      <c r="A18" s="2" t="s">
        <v>25</v>
      </c>
      <c r="B18" s="2" t="s">
        <v>26</v>
      </c>
    </row>
    <row r="19" spans="1:2" x14ac:dyDescent="0.25">
      <c r="A19" s="2" t="s">
        <v>1</v>
      </c>
      <c r="B19" s="2" t="s">
        <v>1</v>
      </c>
    </row>
    <row r="20" spans="1:2" x14ac:dyDescent="0.25">
      <c r="A20" s="3" t="s">
        <v>27</v>
      </c>
      <c r="B20" s="3" t="s">
        <v>1</v>
      </c>
    </row>
    <row r="21" spans="1:2" x14ac:dyDescent="0.25">
      <c r="A21" s="4" t="s">
        <v>28</v>
      </c>
      <c r="B21" s="5">
        <f>COUNTA(Kararlar!E2:E23)</f>
        <v>0</v>
      </c>
    </row>
    <row r="22" spans="1:2" x14ac:dyDescent="0.25">
      <c r="A22" s="4" t="s">
        <v>29</v>
      </c>
      <c r="B22" s="5">
        <f>22-COUNTA(Kararlar!E2:E23)</f>
        <v>22</v>
      </c>
    </row>
    <row r="23" spans="1:2" x14ac:dyDescent="0.25">
      <c r="A23" s="4" t="s">
        <v>30</v>
      </c>
      <c r="B23" s="5">
        <f>COUNTIF(Maddeler!H2:H86,"Evet (yapılsın)")</f>
        <v>8</v>
      </c>
    </row>
    <row r="24" spans="1:2" x14ac:dyDescent="0.25">
      <c r="A24" s="4" t="s">
        <v>31</v>
      </c>
      <c r="B24" s="5">
        <f>COUNTIF(Maddeler!H2:H86,"Önerine uyuyorum")</f>
        <v>73</v>
      </c>
    </row>
    <row r="25" spans="1:2" x14ac:dyDescent="0.25">
      <c r="A25" s="4" t="s">
        <v>32</v>
      </c>
      <c r="B25" s="5">
        <f>COUNTIF(Maddeler!H2:H86,"Hayır (yapılmasın)")</f>
        <v>2</v>
      </c>
    </row>
    <row r="26" spans="1:2" x14ac:dyDescent="0.25">
      <c r="A26" s="4" t="s">
        <v>33</v>
      </c>
      <c r="B26" s="5">
        <f>COUNTIF(Maddeler!H2:H86,"Daha sonra")</f>
        <v>1</v>
      </c>
    </row>
    <row r="27" spans="1:2" x14ac:dyDescent="0.25">
      <c r="A27" s="4" t="s">
        <v>34</v>
      </c>
      <c r="B27" s="5">
        <f>85-COUNTA(Maddeler!H2:H86)</f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xSplit="1" ySplit="1" topLeftCell="B2" activePane="bottomRight" state="frozen"/>
      <selection pane="topRight"/>
      <selection pane="bottomLeft"/>
      <selection pane="bottomRight" activeCell="F21" sqref="F21"/>
    </sheetView>
  </sheetViews>
  <sheetFormatPr defaultRowHeight="15" x14ac:dyDescent="0.25"/>
  <cols>
    <col min="1" max="1" width="7" customWidth="1"/>
    <col min="2" max="2" width="45" customWidth="1"/>
    <col min="3" max="3" width="70" customWidth="1"/>
    <col min="4" max="4" width="38" customWidth="1"/>
    <col min="5" max="5" width="22" customWidth="1"/>
    <col min="6" max="6" width="40" customWidth="1"/>
  </cols>
  <sheetData>
    <row r="1" spans="1:6" ht="30" customHeight="1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</row>
    <row r="2" spans="1:6" ht="38.25" x14ac:dyDescent="0.25">
      <c r="A2" s="7" t="s">
        <v>41</v>
      </c>
      <c r="B2" s="7" t="s">
        <v>42</v>
      </c>
      <c r="C2" s="7" t="s">
        <v>43</v>
      </c>
      <c r="D2" s="7" t="s">
        <v>44</v>
      </c>
      <c r="E2" s="8"/>
      <c r="F2" s="9" t="s">
        <v>412</v>
      </c>
    </row>
    <row r="3" spans="1:6" ht="38.25" x14ac:dyDescent="0.25">
      <c r="A3" s="7" t="s">
        <v>45</v>
      </c>
      <c r="B3" s="7" t="s">
        <v>46</v>
      </c>
      <c r="C3" s="7" t="s">
        <v>47</v>
      </c>
      <c r="D3" s="7" t="s">
        <v>48</v>
      </c>
      <c r="E3" s="8"/>
      <c r="F3" s="9" t="s">
        <v>413</v>
      </c>
    </row>
    <row r="4" spans="1:6" ht="38.25" x14ac:dyDescent="0.25">
      <c r="A4" s="10" t="s">
        <v>49</v>
      </c>
      <c r="B4" s="10" t="s">
        <v>50</v>
      </c>
      <c r="C4" s="10" t="s">
        <v>51</v>
      </c>
      <c r="D4" s="10" t="s">
        <v>52</v>
      </c>
      <c r="E4" s="8"/>
      <c r="F4" s="9" t="s">
        <v>413</v>
      </c>
    </row>
    <row r="5" spans="1:6" ht="51" x14ac:dyDescent="0.25">
      <c r="A5" s="7" t="s">
        <v>53</v>
      </c>
      <c r="B5" s="7" t="s">
        <v>54</v>
      </c>
      <c r="C5" s="7" t="s">
        <v>55</v>
      </c>
      <c r="D5" s="7" t="s">
        <v>56</v>
      </c>
      <c r="E5" s="8"/>
      <c r="F5" s="9" t="s">
        <v>413</v>
      </c>
    </row>
    <row r="6" spans="1:6" ht="38.25" x14ac:dyDescent="0.25">
      <c r="A6" s="7" t="s">
        <v>57</v>
      </c>
      <c r="B6" s="7" t="s">
        <v>58</v>
      </c>
      <c r="C6" s="7" t="s">
        <v>59</v>
      </c>
      <c r="D6" s="7" t="s">
        <v>60</v>
      </c>
      <c r="E6" s="8"/>
      <c r="F6" s="9" t="s">
        <v>413</v>
      </c>
    </row>
    <row r="7" spans="1:6" ht="38.25" x14ac:dyDescent="0.25">
      <c r="A7" s="7" t="s">
        <v>61</v>
      </c>
      <c r="B7" s="7" t="s">
        <v>62</v>
      </c>
      <c r="C7" s="7" t="s">
        <v>63</v>
      </c>
      <c r="D7" s="7" t="s">
        <v>64</v>
      </c>
      <c r="E7" s="8"/>
      <c r="F7" s="9" t="s">
        <v>413</v>
      </c>
    </row>
    <row r="8" spans="1:6" ht="38.25" x14ac:dyDescent="0.25">
      <c r="A8" s="7" t="s">
        <v>65</v>
      </c>
      <c r="B8" s="7" t="s">
        <v>66</v>
      </c>
      <c r="C8" s="7" t="s">
        <v>67</v>
      </c>
      <c r="D8" s="7" t="s">
        <v>64</v>
      </c>
      <c r="E8" s="8"/>
      <c r="F8" s="9" t="s">
        <v>413</v>
      </c>
    </row>
    <row r="9" spans="1:6" ht="25.5" x14ac:dyDescent="0.25">
      <c r="A9" s="10" t="s">
        <v>68</v>
      </c>
      <c r="B9" s="10" t="s">
        <v>69</v>
      </c>
      <c r="C9" s="10" t="s">
        <v>70</v>
      </c>
      <c r="D9" s="10" t="s">
        <v>71</v>
      </c>
      <c r="E9" s="8"/>
      <c r="F9" s="9" t="s">
        <v>413</v>
      </c>
    </row>
    <row r="10" spans="1:6" ht="38.25" x14ac:dyDescent="0.25">
      <c r="A10" s="7" t="s">
        <v>72</v>
      </c>
      <c r="B10" s="7" t="s">
        <v>73</v>
      </c>
      <c r="C10" s="7" t="s">
        <v>74</v>
      </c>
      <c r="D10" s="7" t="s">
        <v>64</v>
      </c>
      <c r="E10" s="8"/>
      <c r="F10" s="9" t="s">
        <v>413</v>
      </c>
    </row>
    <row r="11" spans="1:6" ht="25.5" x14ac:dyDescent="0.25">
      <c r="A11" s="7" t="s">
        <v>75</v>
      </c>
      <c r="B11" s="7" t="s">
        <v>76</v>
      </c>
      <c r="C11" s="7" t="s">
        <v>77</v>
      </c>
      <c r="D11" s="7" t="s">
        <v>78</v>
      </c>
      <c r="E11" s="8"/>
      <c r="F11" s="9" t="s">
        <v>413</v>
      </c>
    </row>
    <row r="12" spans="1:6" ht="25.5" x14ac:dyDescent="0.25">
      <c r="A12" s="7" t="s">
        <v>79</v>
      </c>
      <c r="B12" s="7" t="s">
        <v>80</v>
      </c>
      <c r="C12" s="7" t="s">
        <v>81</v>
      </c>
      <c r="D12" s="7" t="s">
        <v>82</v>
      </c>
      <c r="E12" s="8"/>
      <c r="F12" s="9" t="s">
        <v>413</v>
      </c>
    </row>
    <row r="13" spans="1:6" ht="25.5" x14ac:dyDescent="0.25">
      <c r="A13" s="7" t="s">
        <v>83</v>
      </c>
      <c r="B13" s="7" t="s">
        <v>84</v>
      </c>
      <c r="C13" s="7" t="s">
        <v>85</v>
      </c>
      <c r="D13" s="7" t="s">
        <v>64</v>
      </c>
      <c r="E13" s="8"/>
      <c r="F13" s="9" t="s">
        <v>413</v>
      </c>
    </row>
    <row r="14" spans="1:6" ht="25.5" x14ac:dyDescent="0.25">
      <c r="A14" s="7" t="s">
        <v>86</v>
      </c>
      <c r="B14" s="7" t="s">
        <v>87</v>
      </c>
      <c r="C14" s="7" t="s">
        <v>88</v>
      </c>
      <c r="D14" s="7" t="s">
        <v>64</v>
      </c>
      <c r="E14" s="8"/>
      <c r="F14" s="9" t="s">
        <v>413</v>
      </c>
    </row>
    <row r="15" spans="1:6" ht="25.5" x14ac:dyDescent="0.25">
      <c r="A15" s="7" t="s">
        <v>89</v>
      </c>
      <c r="B15" s="7" t="s">
        <v>90</v>
      </c>
      <c r="C15" s="7" t="s">
        <v>91</v>
      </c>
      <c r="D15" s="7" t="s">
        <v>92</v>
      </c>
      <c r="E15" s="8"/>
      <c r="F15" s="9" t="s">
        <v>413</v>
      </c>
    </row>
    <row r="16" spans="1:6" ht="51" x14ac:dyDescent="0.25">
      <c r="A16" s="7" t="s">
        <v>93</v>
      </c>
      <c r="B16" s="7" t="s">
        <v>94</v>
      </c>
      <c r="C16" s="7" t="s">
        <v>95</v>
      </c>
      <c r="D16" s="7" t="s">
        <v>64</v>
      </c>
      <c r="E16" s="8"/>
      <c r="F16" s="9" t="s">
        <v>414</v>
      </c>
    </row>
    <row r="17" spans="1:6" ht="25.5" x14ac:dyDescent="0.25">
      <c r="A17" s="7" t="s">
        <v>96</v>
      </c>
      <c r="B17" s="7" t="s">
        <v>97</v>
      </c>
      <c r="C17" s="7" t="s">
        <v>98</v>
      </c>
      <c r="D17" s="7" t="s">
        <v>99</v>
      </c>
      <c r="E17" s="8"/>
      <c r="F17" s="9" t="s">
        <v>413</v>
      </c>
    </row>
    <row r="18" spans="1:6" ht="25.5" x14ac:dyDescent="0.25">
      <c r="A18" s="7" t="s">
        <v>100</v>
      </c>
      <c r="B18" s="7" t="s">
        <v>101</v>
      </c>
      <c r="C18" s="7" t="s">
        <v>102</v>
      </c>
      <c r="D18" s="7" t="s">
        <v>64</v>
      </c>
      <c r="E18" s="8"/>
      <c r="F18" s="9" t="s">
        <v>413</v>
      </c>
    </row>
    <row r="19" spans="1:6" ht="38.25" x14ac:dyDescent="0.25">
      <c r="A19" s="7" t="s">
        <v>103</v>
      </c>
      <c r="B19" s="7" t="s">
        <v>104</v>
      </c>
      <c r="C19" s="7" t="s">
        <v>105</v>
      </c>
      <c r="D19" s="7" t="s">
        <v>106</v>
      </c>
      <c r="E19" s="8"/>
      <c r="F19" s="9" t="s">
        <v>413</v>
      </c>
    </row>
    <row r="20" spans="1:6" ht="76.5" x14ac:dyDescent="0.25">
      <c r="A20" s="7" t="s">
        <v>107</v>
      </c>
      <c r="B20" s="7" t="s">
        <v>108</v>
      </c>
      <c r="C20" s="7" t="s">
        <v>109</v>
      </c>
      <c r="D20" s="7" t="s">
        <v>110</v>
      </c>
      <c r="E20" s="8"/>
      <c r="F20" s="9" t="s">
        <v>415</v>
      </c>
    </row>
    <row r="21" spans="1:6" ht="38.25" x14ac:dyDescent="0.25">
      <c r="A21" s="10" t="s">
        <v>111</v>
      </c>
      <c r="B21" s="10" t="s">
        <v>112</v>
      </c>
      <c r="C21" s="10" t="s">
        <v>113</v>
      </c>
      <c r="D21" s="10" t="s">
        <v>71</v>
      </c>
      <c r="E21" s="8"/>
      <c r="F21" s="9" t="s">
        <v>416</v>
      </c>
    </row>
    <row r="22" spans="1:6" ht="51" x14ac:dyDescent="0.25">
      <c r="A22" s="7" t="s">
        <v>114</v>
      </c>
      <c r="B22" s="7" t="s">
        <v>115</v>
      </c>
      <c r="C22" s="7" t="s">
        <v>116</v>
      </c>
      <c r="D22" s="7" t="s">
        <v>117</v>
      </c>
      <c r="E22" s="8"/>
      <c r="F22" s="9" t="s">
        <v>413</v>
      </c>
    </row>
    <row r="23" spans="1:6" ht="25.5" x14ac:dyDescent="0.25">
      <c r="A23" s="7" t="s">
        <v>118</v>
      </c>
      <c r="B23" s="7" t="s">
        <v>119</v>
      </c>
      <c r="C23" s="7" t="s">
        <v>120</v>
      </c>
      <c r="D23" s="7" t="s">
        <v>121</v>
      </c>
      <c r="E23" s="8"/>
      <c r="F23" s="9" t="s">
        <v>412</v>
      </c>
    </row>
  </sheetData>
  <autoFilter ref="A1:F23" xr:uid="{00000000-0009-0000-0000-000001000000}"/>
  <dataValidations count="1">
    <dataValidation type="list" allowBlank="1" showErrorMessage="1" errorTitle="Listeden seç" error="Lütfen açılır listeden bir seçenek seç (açıklamayı Not sütununa yazabilirsin)." sqref="E2:E23" xr:uid="{00000000-0002-0000-0100-000000000000}">
      <formula1>"Önerine uyuyorum,a,b,c,Başka (nota yazdım)"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6"/>
  <sheetViews>
    <sheetView workbookViewId="0">
      <pane xSplit="1" ySplit="1" topLeftCell="B66" activePane="bottomRight" state="frozen"/>
      <selection pane="topRight"/>
      <selection pane="bottomLeft"/>
      <selection pane="bottomRight" activeCell="H55" sqref="H55:H60"/>
    </sheetView>
  </sheetViews>
  <sheetFormatPr defaultRowHeight="15" x14ac:dyDescent="0.25"/>
  <cols>
    <col min="1" max="1" width="7" customWidth="1"/>
    <col min="2" max="2" width="22" customWidth="1"/>
    <col min="3" max="3" width="55" customWidth="1"/>
    <col min="4" max="4" width="45" customWidth="1"/>
    <col min="6" max="6" width="11" customWidth="1"/>
    <col min="7" max="7" width="30" customWidth="1"/>
    <col min="8" max="8" width="20" customWidth="1"/>
    <col min="9" max="9" width="40" customWidth="1"/>
  </cols>
  <sheetData>
    <row r="1" spans="1:9" ht="30" customHeight="1" x14ac:dyDescent="0.25">
      <c r="A1" s="6" t="s">
        <v>35</v>
      </c>
      <c r="B1" s="6" t="s">
        <v>122</v>
      </c>
      <c r="C1" s="6" t="s">
        <v>123</v>
      </c>
      <c r="D1" s="6" t="s">
        <v>124</v>
      </c>
      <c r="E1" s="6" t="s">
        <v>23</v>
      </c>
      <c r="F1" s="6" t="s">
        <v>25</v>
      </c>
      <c r="G1" s="6" t="s">
        <v>38</v>
      </c>
      <c r="H1" s="6" t="s">
        <v>39</v>
      </c>
      <c r="I1" s="6" t="s">
        <v>40</v>
      </c>
    </row>
    <row r="2" spans="1:9" ht="38.25" x14ac:dyDescent="0.25">
      <c r="A2" s="10" t="s">
        <v>125</v>
      </c>
      <c r="B2" s="10" t="s">
        <v>126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8"/>
      <c r="I2" s="9" t="s">
        <v>416</v>
      </c>
    </row>
    <row r="3" spans="1:9" ht="25.5" x14ac:dyDescent="0.25">
      <c r="A3" s="10" t="s">
        <v>132</v>
      </c>
      <c r="B3" s="10" t="s">
        <v>126</v>
      </c>
      <c r="C3" s="10" t="s">
        <v>133</v>
      </c>
      <c r="D3" s="10" t="s">
        <v>134</v>
      </c>
      <c r="E3" s="10" t="s">
        <v>129</v>
      </c>
      <c r="F3" s="10" t="s">
        <v>135</v>
      </c>
      <c r="G3" s="10" t="s">
        <v>131</v>
      </c>
      <c r="H3" s="8" t="s">
        <v>417</v>
      </c>
      <c r="I3" s="9"/>
    </row>
    <row r="4" spans="1:9" ht="38.25" x14ac:dyDescent="0.25">
      <c r="A4" s="10" t="s">
        <v>136</v>
      </c>
      <c r="B4" s="10" t="s">
        <v>126</v>
      </c>
      <c r="C4" s="10" t="s">
        <v>137</v>
      </c>
      <c r="D4" s="10" t="s">
        <v>138</v>
      </c>
      <c r="E4" s="10" t="s">
        <v>129</v>
      </c>
      <c r="F4" s="10" t="s">
        <v>139</v>
      </c>
      <c r="G4" s="10" t="s">
        <v>131</v>
      </c>
      <c r="H4" s="8" t="s">
        <v>417</v>
      </c>
      <c r="I4" s="9"/>
    </row>
    <row r="5" spans="1:9" ht="25.5" x14ac:dyDescent="0.25">
      <c r="A5" s="10" t="s">
        <v>140</v>
      </c>
      <c r="B5" s="10" t="s">
        <v>126</v>
      </c>
      <c r="C5" s="10" t="s">
        <v>141</v>
      </c>
      <c r="D5" s="10" t="s">
        <v>142</v>
      </c>
      <c r="E5" s="10" t="s">
        <v>129</v>
      </c>
      <c r="F5" s="10" t="s">
        <v>130</v>
      </c>
      <c r="G5" s="10" t="s">
        <v>131</v>
      </c>
      <c r="H5" s="8" t="s">
        <v>417</v>
      </c>
      <c r="I5" s="9"/>
    </row>
    <row r="6" spans="1:9" ht="25.5" x14ac:dyDescent="0.25">
      <c r="A6" s="10" t="s">
        <v>143</v>
      </c>
      <c r="B6" s="10" t="s">
        <v>126</v>
      </c>
      <c r="C6" s="10" t="s">
        <v>144</v>
      </c>
      <c r="D6" s="10" t="s">
        <v>145</v>
      </c>
      <c r="E6" s="10" t="s">
        <v>129</v>
      </c>
      <c r="F6" s="10" t="s">
        <v>135</v>
      </c>
      <c r="G6" s="10" t="s">
        <v>131</v>
      </c>
      <c r="H6" s="8" t="s">
        <v>417</v>
      </c>
      <c r="I6" s="9"/>
    </row>
    <row r="7" spans="1:9" ht="25.5" x14ac:dyDescent="0.25">
      <c r="A7" s="10" t="s">
        <v>146</v>
      </c>
      <c r="B7" s="10" t="s">
        <v>126</v>
      </c>
      <c r="C7" s="10" t="s">
        <v>147</v>
      </c>
      <c r="D7" s="10" t="s">
        <v>148</v>
      </c>
      <c r="E7" s="10" t="s">
        <v>129</v>
      </c>
      <c r="F7" s="10" t="s">
        <v>149</v>
      </c>
      <c r="G7" s="10" t="s">
        <v>131</v>
      </c>
      <c r="H7" s="8" t="s">
        <v>417</v>
      </c>
      <c r="I7" s="9"/>
    </row>
    <row r="8" spans="1:9" ht="25.5" x14ac:dyDescent="0.25">
      <c r="A8" s="10" t="s">
        <v>150</v>
      </c>
      <c r="B8" s="10" t="s">
        <v>126</v>
      </c>
      <c r="C8" s="10" t="s">
        <v>151</v>
      </c>
      <c r="D8" s="10" t="s">
        <v>152</v>
      </c>
      <c r="E8" s="10" t="s">
        <v>129</v>
      </c>
      <c r="F8" s="10" t="s">
        <v>130</v>
      </c>
      <c r="G8" s="10" t="s">
        <v>131</v>
      </c>
      <c r="H8" s="8" t="s">
        <v>417</v>
      </c>
      <c r="I8" s="9"/>
    </row>
    <row r="9" spans="1:9" ht="25.5" x14ac:dyDescent="0.25">
      <c r="A9" s="10" t="s">
        <v>153</v>
      </c>
      <c r="B9" s="10" t="s">
        <v>126</v>
      </c>
      <c r="C9" s="10" t="s">
        <v>154</v>
      </c>
      <c r="D9" s="10" t="s">
        <v>155</v>
      </c>
      <c r="E9" s="10" t="s">
        <v>129</v>
      </c>
      <c r="F9" s="10" t="s">
        <v>135</v>
      </c>
      <c r="G9" s="10" t="s">
        <v>131</v>
      </c>
      <c r="H9" s="8" t="s">
        <v>417</v>
      </c>
      <c r="I9" s="9"/>
    </row>
    <row r="10" spans="1:9" ht="25.5" x14ac:dyDescent="0.25">
      <c r="A10" s="10" t="s">
        <v>156</v>
      </c>
      <c r="B10" s="10" t="s">
        <v>126</v>
      </c>
      <c r="C10" s="10" t="s">
        <v>157</v>
      </c>
      <c r="D10" s="10" t="s">
        <v>158</v>
      </c>
      <c r="E10" s="10" t="s">
        <v>129</v>
      </c>
      <c r="F10" s="10" t="s">
        <v>149</v>
      </c>
      <c r="G10" s="10" t="s">
        <v>131</v>
      </c>
      <c r="H10" s="8" t="s">
        <v>417</v>
      </c>
      <c r="I10" s="9"/>
    </row>
    <row r="11" spans="1:9" ht="25.5" x14ac:dyDescent="0.25">
      <c r="A11" s="7" t="s">
        <v>159</v>
      </c>
      <c r="B11" s="7" t="s">
        <v>126</v>
      </c>
      <c r="C11" s="7" t="s">
        <v>160</v>
      </c>
      <c r="D11" s="7" t="s">
        <v>161</v>
      </c>
      <c r="E11" s="7" t="s">
        <v>162</v>
      </c>
      <c r="F11" s="7" t="s">
        <v>130</v>
      </c>
      <c r="G11" s="7" t="s">
        <v>163</v>
      </c>
      <c r="H11" s="8" t="s">
        <v>417</v>
      </c>
      <c r="I11" s="9"/>
    </row>
    <row r="12" spans="1:9" ht="25.5" x14ac:dyDescent="0.25">
      <c r="A12" s="7" t="s">
        <v>164</v>
      </c>
      <c r="B12" s="7" t="s">
        <v>126</v>
      </c>
      <c r="C12" s="7" t="s">
        <v>165</v>
      </c>
      <c r="D12" s="7" t="s">
        <v>166</v>
      </c>
      <c r="E12" s="7" t="s">
        <v>162</v>
      </c>
      <c r="F12" s="7" t="s">
        <v>149</v>
      </c>
      <c r="G12" s="7" t="s">
        <v>163</v>
      </c>
      <c r="H12" s="8" t="s">
        <v>417</v>
      </c>
      <c r="I12" s="9"/>
    </row>
    <row r="13" spans="1:9" ht="25.5" x14ac:dyDescent="0.25">
      <c r="A13" s="7" t="s">
        <v>167</v>
      </c>
      <c r="B13" s="7" t="s">
        <v>126</v>
      </c>
      <c r="C13" s="7" t="s">
        <v>168</v>
      </c>
      <c r="D13" s="7" t="s">
        <v>169</v>
      </c>
      <c r="E13" s="7" t="s">
        <v>162</v>
      </c>
      <c r="F13" s="7" t="s">
        <v>135</v>
      </c>
      <c r="G13" s="7" t="s">
        <v>163</v>
      </c>
      <c r="H13" s="8" t="s">
        <v>417</v>
      </c>
      <c r="I13" s="9"/>
    </row>
    <row r="14" spans="1:9" ht="25.5" x14ac:dyDescent="0.25">
      <c r="A14" s="7" t="s">
        <v>170</v>
      </c>
      <c r="B14" s="7" t="s">
        <v>126</v>
      </c>
      <c r="C14" s="7" t="s">
        <v>171</v>
      </c>
      <c r="D14" s="7" t="s">
        <v>172</v>
      </c>
      <c r="E14" s="7" t="s">
        <v>162</v>
      </c>
      <c r="F14" s="7" t="s">
        <v>130</v>
      </c>
      <c r="G14" s="7" t="s">
        <v>163</v>
      </c>
      <c r="H14" s="8" t="s">
        <v>417</v>
      </c>
      <c r="I14" s="9"/>
    </row>
    <row r="15" spans="1:9" ht="38.25" x14ac:dyDescent="0.25">
      <c r="A15" s="7" t="s">
        <v>173</v>
      </c>
      <c r="B15" s="7" t="s">
        <v>126</v>
      </c>
      <c r="C15" s="7" t="s">
        <v>174</v>
      </c>
      <c r="D15" s="7" t="s">
        <v>175</v>
      </c>
      <c r="E15" s="7" t="s">
        <v>176</v>
      </c>
      <c r="F15" s="7" t="s">
        <v>130</v>
      </c>
      <c r="G15" s="7" t="s">
        <v>163</v>
      </c>
      <c r="H15" s="8" t="s">
        <v>417</v>
      </c>
      <c r="I15" s="9"/>
    </row>
    <row r="16" spans="1:9" ht="25.5" x14ac:dyDescent="0.25">
      <c r="A16" s="7" t="s">
        <v>177</v>
      </c>
      <c r="B16" s="7" t="s">
        <v>126</v>
      </c>
      <c r="C16" s="7" t="s">
        <v>178</v>
      </c>
      <c r="D16" s="7" t="s">
        <v>179</v>
      </c>
      <c r="E16" s="7" t="s">
        <v>176</v>
      </c>
      <c r="F16" s="7" t="s">
        <v>130</v>
      </c>
      <c r="G16" s="7" t="s">
        <v>163</v>
      </c>
      <c r="H16" s="8" t="s">
        <v>417</v>
      </c>
      <c r="I16" s="9"/>
    </row>
    <row r="17" spans="1:9" ht="25.5" x14ac:dyDescent="0.25">
      <c r="A17" s="10" t="s">
        <v>180</v>
      </c>
      <c r="B17" s="10" t="s">
        <v>181</v>
      </c>
      <c r="C17" s="10" t="s">
        <v>182</v>
      </c>
      <c r="D17" s="10" t="s">
        <v>183</v>
      </c>
      <c r="E17" s="10" t="s">
        <v>129</v>
      </c>
      <c r="F17" s="10" t="s">
        <v>130</v>
      </c>
      <c r="G17" s="10" t="s">
        <v>131</v>
      </c>
      <c r="H17" s="8" t="s">
        <v>417</v>
      </c>
      <c r="I17" s="9"/>
    </row>
    <row r="18" spans="1:9" x14ac:dyDescent="0.25">
      <c r="A18" s="10" t="s">
        <v>184</v>
      </c>
      <c r="B18" s="10" t="s">
        <v>181</v>
      </c>
      <c r="C18" s="10" t="s">
        <v>185</v>
      </c>
      <c r="D18" s="10" t="s">
        <v>186</v>
      </c>
      <c r="E18" s="10" t="s">
        <v>129</v>
      </c>
      <c r="F18" s="10" t="s">
        <v>135</v>
      </c>
      <c r="G18" s="10" t="s">
        <v>131</v>
      </c>
      <c r="H18" s="8" t="s">
        <v>417</v>
      </c>
      <c r="I18" s="9"/>
    </row>
    <row r="19" spans="1:9" ht="25.5" x14ac:dyDescent="0.25">
      <c r="A19" s="10" t="s">
        <v>187</v>
      </c>
      <c r="B19" s="10" t="s">
        <v>181</v>
      </c>
      <c r="C19" s="10" t="s">
        <v>188</v>
      </c>
      <c r="D19" s="10" t="s">
        <v>189</v>
      </c>
      <c r="E19" s="10" t="s">
        <v>129</v>
      </c>
      <c r="F19" s="10" t="s">
        <v>149</v>
      </c>
      <c r="G19" s="10" t="s">
        <v>131</v>
      </c>
      <c r="H19" s="8" t="s">
        <v>417</v>
      </c>
      <c r="I19" s="9"/>
    </row>
    <row r="20" spans="1:9" x14ac:dyDescent="0.25">
      <c r="A20" s="7" t="s">
        <v>190</v>
      </c>
      <c r="B20" s="7" t="s">
        <v>181</v>
      </c>
      <c r="C20" s="7" t="s">
        <v>191</v>
      </c>
      <c r="D20" s="7" t="s">
        <v>192</v>
      </c>
      <c r="E20" s="7" t="s">
        <v>162</v>
      </c>
      <c r="F20" s="7" t="s">
        <v>130</v>
      </c>
      <c r="G20" s="7" t="s">
        <v>163</v>
      </c>
      <c r="H20" s="8" t="s">
        <v>417</v>
      </c>
      <c r="I20" s="9"/>
    </row>
    <row r="21" spans="1:9" ht="38.25" x14ac:dyDescent="0.25">
      <c r="A21" s="10" t="s">
        <v>193</v>
      </c>
      <c r="B21" s="10" t="s">
        <v>181</v>
      </c>
      <c r="C21" s="10" t="s">
        <v>194</v>
      </c>
      <c r="D21" s="10" t="s">
        <v>195</v>
      </c>
      <c r="E21" s="10" t="s">
        <v>129</v>
      </c>
      <c r="F21" s="10" t="s">
        <v>139</v>
      </c>
      <c r="G21" s="10" t="s">
        <v>131</v>
      </c>
      <c r="H21" s="8" t="s">
        <v>417</v>
      </c>
      <c r="I21" s="9"/>
    </row>
    <row r="22" spans="1:9" ht="25.5" x14ac:dyDescent="0.25">
      <c r="A22" s="7" t="s">
        <v>196</v>
      </c>
      <c r="B22" s="7" t="s">
        <v>181</v>
      </c>
      <c r="C22" s="7" t="s">
        <v>197</v>
      </c>
      <c r="D22" s="7" t="s">
        <v>198</v>
      </c>
      <c r="E22" s="7" t="s">
        <v>162</v>
      </c>
      <c r="F22" s="7" t="s">
        <v>130</v>
      </c>
      <c r="G22" s="7" t="s">
        <v>163</v>
      </c>
      <c r="H22" s="8" t="s">
        <v>417</v>
      </c>
      <c r="I22" s="9"/>
    </row>
    <row r="23" spans="1:9" x14ac:dyDescent="0.25">
      <c r="A23" s="7" t="s">
        <v>199</v>
      </c>
      <c r="B23" s="7" t="s">
        <v>181</v>
      </c>
      <c r="C23" s="7" t="s">
        <v>200</v>
      </c>
      <c r="D23" s="7" t="s">
        <v>201</v>
      </c>
      <c r="E23" s="7" t="s">
        <v>162</v>
      </c>
      <c r="F23" s="7" t="s">
        <v>130</v>
      </c>
      <c r="G23" s="7" t="s">
        <v>163</v>
      </c>
      <c r="H23" s="8" t="s">
        <v>417</v>
      </c>
      <c r="I23" s="9"/>
    </row>
    <row r="24" spans="1:9" ht="25.5" x14ac:dyDescent="0.25">
      <c r="A24" s="7" t="s">
        <v>202</v>
      </c>
      <c r="B24" s="7" t="s">
        <v>181</v>
      </c>
      <c r="C24" s="7" t="s">
        <v>203</v>
      </c>
      <c r="D24" s="7" t="s">
        <v>204</v>
      </c>
      <c r="E24" s="7" t="s">
        <v>162</v>
      </c>
      <c r="F24" s="7" t="s">
        <v>135</v>
      </c>
      <c r="G24" s="7" t="s">
        <v>163</v>
      </c>
      <c r="H24" s="8" t="s">
        <v>417</v>
      </c>
      <c r="I24" s="9"/>
    </row>
    <row r="25" spans="1:9" ht="25.5" x14ac:dyDescent="0.25">
      <c r="A25" s="7" t="s">
        <v>205</v>
      </c>
      <c r="B25" s="7" t="s">
        <v>181</v>
      </c>
      <c r="C25" s="7" t="s">
        <v>206</v>
      </c>
      <c r="D25" s="7" t="s">
        <v>207</v>
      </c>
      <c r="E25" s="7" t="s">
        <v>162</v>
      </c>
      <c r="F25" s="7" t="s">
        <v>135</v>
      </c>
      <c r="G25" s="7" t="s">
        <v>163</v>
      </c>
      <c r="H25" s="8" t="s">
        <v>417</v>
      </c>
      <c r="I25" s="9"/>
    </row>
    <row r="26" spans="1:9" ht="25.5" x14ac:dyDescent="0.25">
      <c r="A26" s="7" t="s">
        <v>208</v>
      </c>
      <c r="B26" s="7" t="s">
        <v>181</v>
      </c>
      <c r="C26" s="7" t="s">
        <v>209</v>
      </c>
      <c r="D26" s="7" t="s">
        <v>210</v>
      </c>
      <c r="E26" s="7" t="s">
        <v>176</v>
      </c>
      <c r="F26" s="7" t="s">
        <v>130</v>
      </c>
      <c r="G26" s="7" t="s">
        <v>211</v>
      </c>
      <c r="H26" s="8" t="s">
        <v>417</v>
      </c>
      <c r="I26" s="9"/>
    </row>
    <row r="27" spans="1:9" ht="25.5" x14ac:dyDescent="0.25">
      <c r="A27" s="7" t="s">
        <v>212</v>
      </c>
      <c r="B27" s="7" t="s">
        <v>181</v>
      </c>
      <c r="C27" s="7" t="s">
        <v>213</v>
      </c>
      <c r="D27" s="7" t="s">
        <v>214</v>
      </c>
      <c r="E27" s="7" t="s">
        <v>176</v>
      </c>
      <c r="F27" s="7" t="s">
        <v>149</v>
      </c>
      <c r="G27" s="7" t="s">
        <v>163</v>
      </c>
      <c r="H27" s="8" t="s">
        <v>417</v>
      </c>
      <c r="I27" s="9"/>
    </row>
    <row r="28" spans="1:9" ht="25.5" x14ac:dyDescent="0.25">
      <c r="A28" s="7" t="s">
        <v>215</v>
      </c>
      <c r="B28" s="7" t="s">
        <v>216</v>
      </c>
      <c r="C28" s="7" t="s">
        <v>217</v>
      </c>
      <c r="D28" s="7" t="s">
        <v>218</v>
      </c>
      <c r="E28" s="7" t="s">
        <v>162</v>
      </c>
      <c r="F28" s="7" t="s">
        <v>130</v>
      </c>
      <c r="G28" s="7" t="s">
        <v>163</v>
      </c>
      <c r="H28" s="8" t="s">
        <v>417</v>
      </c>
      <c r="I28" s="9"/>
    </row>
    <row r="29" spans="1:9" ht="25.5" x14ac:dyDescent="0.25">
      <c r="A29" s="7" t="s">
        <v>219</v>
      </c>
      <c r="B29" s="7" t="s">
        <v>216</v>
      </c>
      <c r="C29" s="7" t="s">
        <v>220</v>
      </c>
      <c r="D29" s="7" t="s">
        <v>221</v>
      </c>
      <c r="E29" s="7" t="s">
        <v>162</v>
      </c>
      <c r="F29" s="7" t="s">
        <v>135</v>
      </c>
      <c r="G29" s="7" t="s">
        <v>163</v>
      </c>
      <c r="H29" s="8" t="s">
        <v>417</v>
      </c>
      <c r="I29" s="9"/>
    </row>
    <row r="30" spans="1:9" ht="25.5" x14ac:dyDescent="0.25">
      <c r="A30" s="7" t="s">
        <v>222</v>
      </c>
      <c r="B30" s="7" t="s">
        <v>216</v>
      </c>
      <c r="C30" s="7" t="s">
        <v>223</v>
      </c>
      <c r="D30" s="7" t="s">
        <v>224</v>
      </c>
      <c r="E30" s="7" t="s">
        <v>162</v>
      </c>
      <c r="F30" s="7" t="s">
        <v>135</v>
      </c>
      <c r="G30" s="7" t="s">
        <v>163</v>
      </c>
      <c r="H30" s="8" t="s">
        <v>417</v>
      </c>
      <c r="I30" s="9"/>
    </row>
    <row r="31" spans="1:9" ht="25.5" x14ac:dyDescent="0.25">
      <c r="A31" s="7" t="s">
        <v>225</v>
      </c>
      <c r="B31" s="7" t="s">
        <v>216</v>
      </c>
      <c r="C31" s="7" t="s">
        <v>226</v>
      </c>
      <c r="D31" s="7" t="s">
        <v>227</v>
      </c>
      <c r="E31" s="7" t="s">
        <v>162</v>
      </c>
      <c r="F31" s="7" t="s">
        <v>130</v>
      </c>
      <c r="G31" s="7" t="s">
        <v>163</v>
      </c>
      <c r="H31" s="8" t="s">
        <v>417</v>
      </c>
      <c r="I31" s="9"/>
    </row>
    <row r="32" spans="1:9" ht="25.5" x14ac:dyDescent="0.25">
      <c r="A32" s="7" t="s">
        <v>228</v>
      </c>
      <c r="B32" s="7" t="s">
        <v>216</v>
      </c>
      <c r="C32" s="7" t="s">
        <v>229</v>
      </c>
      <c r="D32" s="7" t="s">
        <v>230</v>
      </c>
      <c r="E32" s="7" t="s">
        <v>162</v>
      </c>
      <c r="F32" s="7" t="s">
        <v>149</v>
      </c>
      <c r="G32" s="7" t="s">
        <v>163</v>
      </c>
      <c r="H32" s="8" t="s">
        <v>417</v>
      </c>
      <c r="I32" s="9"/>
    </row>
    <row r="33" spans="1:9" ht="25.5" x14ac:dyDescent="0.25">
      <c r="A33" s="7" t="s">
        <v>231</v>
      </c>
      <c r="B33" s="7" t="s">
        <v>232</v>
      </c>
      <c r="C33" s="7" t="s">
        <v>233</v>
      </c>
      <c r="D33" s="7" t="s">
        <v>234</v>
      </c>
      <c r="E33" s="7" t="s">
        <v>162</v>
      </c>
      <c r="F33" s="7" t="s">
        <v>135</v>
      </c>
      <c r="G33" s="7" t="s">
        <v>163</v>
      </c>
      <c r="H33" s="8" t="s">
        <v>417</v>
      </c>
      <c r="I33" s="9"/>
    </row>
    <row r="34" spans="1:9" ht="25.5" x14ac:dyDescent="0.25">
      <c r="A34" s="7" t="s">
        <v>235</v>
      </c>
      <c r="B34" s="7" t="s">
        <v>232</v>
      </c>
      <c r="C34" s="7" t="s">
        <v>236</v>
      </c>
      <c r="D34" s="7" t="s">
        <v>237</v>
      </c>
      <c r="E34" s="7" t="s">
        <v>162</v>
      </c>
      <c r="F34" s="7" t="s">
        <v>238</v>
      </c>
      <c r="G34" s="7" t="s">
        <v>163</v>
      </c>
      <c r="H34" s="8" t="s">
        <v>417</v>
      </c>
      <c r="I34" s="9"/>
    </row>
    <row r="35" spans="1:9" ht="25.5" x14ac:dyDescent="0.25">
      <c r="A35" s="7" t="s">
        <v>239</v>
      </c>
      <c r="B35" s="7" t="s">
        <v>232</v>
      </c>
      <c r="C35" s="7" t="s">
        <v>240</v>
      </c>
      <c r="D35" s="7" t="s">
        <v>241</v>
      </c>
      <c r="E35" s="7" t="s">
        <v>162</v>
      </c>
      <c r="F35" s="7" t="s">
        <v>238</v>
      </c>
      <c r="G35" s="7" t="s">
        <v>163</v>
      </c>
      <c r="H35" s="8" t="s">
        <v>417</v>
      </c>
      <c r="I35" s="9"/>
    </row>
    <row r="36" spans="1:9" ht="25.5" x14ac:dyDescent="0.25">
      <c r="A36" s="7" t="s">
        <v>242</v>
      </c>
      <c r="B36" s="7" t="s">
        <v>232</v>
      </c>
      <c r="C36" s="7" t="s">
        <v>243</v>
      </c>
      <c r="D36" s="7" t="s">
        <v>244</v>
      </c>
      <c r="E36" s="7" t="s">
        <v>162</v>
      </c>
      <c r="F36" s="7" t="s">
        <v>238</v>
      </c>
      <c r="G36" s="7" t="s">
        <v>163</v>
      </c>
      <c r="H36" s="8" t="s">
        <v>417</v>
      </c>
      <c r="I36" s="9"/>
    </row>
    <row r="37" spans="1:9" ht="25.5" x14ac:dyDescent="0.25">
      <c r="A37" s="7" t="s">
        <v>245</v>
      </c>
      <c r="B37" s="7" t="s">
        <v>232</v>
      </c>
      <c r="C37" s="7" t="s">
        <v>246</v>
      </c>
      <c r="D37" s="7" t="s">
        <v>247</v>
      </c>
      <c r="E37" s="7" t="s">
        <v>176</v>
      </c>
      <c r="F37" s="7" t="s">
        <v>130</v>
      </c>
      <c r="G37" s="7" t="s">
        <v>163</v>
      </c>
      <c r="H37" s="8" t="s">
        <v>417</v>
      </c>
      <c r="I37" s="9"/>
    </row>
    <row r="38" spans="1:9" ht="25.5" x14ac:dyDescent="0.25">
      <c r="A38" s="7" t="s">
        <v>248</v>
      </c>
      <c r="B38" s="7" t="s">
        <v>232</v>
      </c>
      <c r="C38" s="7" t="s">
        <v>249</v>
      </c>
      <c r="D38" s="7" t="s">
        <v>250</v>
      </c>
      <c r="E38" s="7" t="s">
        <v>176</v>
      </c>
      <c r="F38" s="7" t="s">
        <v>135</v>
      </c>
      <c r="G38" s="7" t="s">
        <v>163</v>
      </c>
      <c r="H38" s="8" t="s">
        <v>417</v>
      </c>
      <c r="I38" s="9"/>
    </row>
    <row r="39" spans="1:9" ht="25.5" x14ac:dyDescent="0.25">
      <c r="A39" s="7" t="s">
        <v>251</v>
      </c>
      <c r="B39" s="7" t="s">
        <v>232</v>
      </c>
      <c r="C39" s="7" t="s">
        <v>252</v>
      </c>
      <c r="D39" s="7" t="s">
        <v>253</v>
      </c>
      <c r="E39" s="7" t="s">
        <v>176</v>
      </c>
      <c r="F39" s="7" t="s">
        <v>130</v>
      </c>
      <c r="G39" s="7" t="s">
        <v>163</v>
      </c>
      <c r="H39" s="8" t="s">
        <v>417</v>
      </c>
      <c r="I39" s="9"/>
    </row>
    <row r="40" spans="1:9" ht="25.5" x14ac:dyDescent="0.25">
      <c r="A40" s="7" t="s">
        <v>254</v>
      </c>
      <c r="B40" s="7" t="s">
        <v>232</v>
      </c>
      <c r="C40" s="7" t="s">
        <v>255</v>
      </c>
      <c r="D40" s="7" t="s">
        <v>256</v>
      </c>
      <c r="E40" s="7" t="s">
        <v>176</v>
      </c>
      <c r="F40" s="7" t="s">
        <v>130</v>
      </c>
      <c r="G40" s="7" t="s">
        <v>211</v>
      </c>
      <c r="H40" s="8" t="s">
        <v>417</v>
      </c>
      <c r="I40" s="9"/>
    </row>
    <row r="41" spans="1:9" ht="25.5" x14ac:dyDescent="0.25">
      <c r="A41" s="7" t="s">
        <v>257</v>
      </c>
      <c r="B41" s="7" t="s">
        <v>232</v>
      </c>
      <c r="C41" s="7" t="s">
        <v>258</v>
      </c>
      <c r="D41" s="7" t="s">
        <v>259</v>
      </c>
      <c r="E41" s="7" t="s">
        <v>176</v>
      </c>
      <c r="F41" s="7" t="s">
        <v>149</v>
      </c>
      <c r="G41" s="7" t="s">
        <v>163</v>
      </c>
      <c r="H41" s="8" t="s">
        <v>417</v>
      </c>
      <c r="I41" s="9"/>
    </row>
    <row r="42" spans="1:9" ht="25.5" x14ac:dyDescent="0.25">
      <c r="A42" s="7" t="s">
        <v>260</v>
      </c>
      <c r="B42" s="7" t="s">
        <v>232</v>
      </c>
      <c r="C42" s="7" t="s">
        <v>261</v>
      </c>
      <c r="D42" s="7" t="s">
        <v>262</v>
      </c>
      <c r="E42" s="7" t="s">
        <v>176</v>
      </c>
      <c r="F42" s="7" t="s">
        <v>130</v>
      </c>
      <c r="G42" s="7" t="s">
        <v>163</v>
      </c>
      <c r="H42" s="8" t="s">
        <v>417</v>
      </c>
      <c r="I42" s="9"/>
    </row>
    <row r="43" spans="1:9" x14ac:dyDescent="0.25">
      <c r="A43" s="7" t="s">
        <v>263</v>
      </c>
      <c r="B43" s="7" t="s">
        <v>264</v>
      </c>
      <c r="C43" s="7" t="s">
        <v>265</v>
      </c>
      <c r="D43" s="7" t="s">
        <v>266</v>
      </c>
      <c r="E43" s="7" t="s">
        <v>162</v>
      </c>
      <c r="F43" s="7" t="s">
        <v>130</v>
      </c>
      <c r="G43" s="7" t="s">
        <v>163</v>
      </c>
      <c r="H43" s="8" t="s">
        <v>417</v>
      </c>
      <c r="I43" s="9"/>
    </row>
    <row r="44" spans="1:9" ht="25.5" x14ac:dyDescent="0.25">
      <c r="A44" s="7" t="s">
        <v>267</v>
      </c>
      <c r="B44" s="7" t="s">
        <v>264</v>
      </c>
      <c r="C44" s="7" t="s">
        <v>268</v>
      </c>
      <c r="D44" s="7" t="s">
        <v>269</v>
      </c>
      <c r="E44" s="7" t="s">
        <v>162</v>
      </c>
      <c r="F44" s="7" t="s">
        <v>130</v>
      </c>
      <c r="G44" s="7" t="s">
        <v>163</v>
      </c>
      <c r="H44" s="8" t="s">
        <v>417</v>
      </c>
      <c r="I44" s="9"/>
    </row>
    <row r="45" spans="1:9" ht="25.5" x14ac:dyDescent="0.25">
      <c r="A45" s="7" t="s">
        <v>270</v>
      </c>
      <c r="B45" s="7" t="s">
        <v>264</v>
      </c>
      <c r="C45" s="7" t="s">
        <v>271</v>
      </c>
      <c r="D45" s="7" t="s">
        <v>272</v>
      </c>
      <c r="E45" s="7" t="s">
        <v>176</v>
      </c>
      <c r="F45" s="7" t="s">
        <v>130</v>
      </c>
      <c r="G45" s="7" t="s">
        <v>163</v>
      </c>
      <c r="H45" s="8" t="s">
        <v>417</v>
      </c>
      <c r="I45" s="9"/>
    </row>
    <row r="46" spans="1:9" ht="25.5" x14ac:dyDescent="0.25">
      <c r="A46" s="7" t="s">
        <v>273</v>
      </c>
      <c r="B46" s="7" t="s">
        <v>264</v>
      </c>
      <c r="C46" s="7" t="s">
        <v>274</v>
      </c>
      <c r="D46" s="7" t="s">
        <v>275</v>
      </c>
      <c r="E46" s="7" t="s">
        <v>176</v>
      </c>
      <c r="F46" s="7" t="s">
        <v>130</v>
      </c>
      <c r="G46" s="7" t="s">
        <v>163</v>
      </c>
      <c r="H46" s="8" t="s">
        <v>417</v>
      </c>
      <c r="I46" s="9"/>
    </row>
    <row r="47" spans="1:9" ht="25.5" x14ac:dyDescent="0.25">
      <c r="A47" s="7" t="s">
        <v>276</v>
      </c>
      <c r="B47" s="7" t="s">
        <v>264</v>
      </c>
      <c r="C47" s="7" t="s">
        <v>277</v>
      </c>
      <c r="D47" s="7" t="s">
        <v>278</v>
      </c>
      <c r="E47" s="7" t="s">
        <v>176</v>
      </c>
      <c r="F47" s="7" t="s">
        <v>130</v>
      </c>
      <c r="G47" s="7" t="s">
        <v>211</v>
      </c>
      <c r="H47" s="8" t="s">
        <v>417</v>
      </c>
      <c r="I47" s="9"/>
    </row>
    <row r="48" spans="1:9" ht="25.5" x14ac:dyDescent="0.25">
      <c r="A48" s="7" t="s">
        <v>279</v>
      </c>
      <c r="B48" s="7" t="s">
        <v>264</v>
      </c>
      <c r="C48" s="7" t="s">
        <v>280</v>
      </c>
      <c r="D48" s="7" t="s">
        <v>281</v>
      </c>
      <c r="E48" s="7" t="s">
        <v>176</v>
      </c>
      <c r="F48" s="7" t="s">
        <v>238</v>
      </c>
      <c r="G48" s="7" t="s">
        <v>163</v>
      </c>
      <c r="H48" s="8" t="s">
        <v>417</v>
      </c>
      <c r="I48" s="9"/>
    </row>
    <row r="49" spans="1:9" x14ac:dyDescent="0.25">
      <c r="A49" s="7" t="s">
        <v>282</v>
      </c>
      <c r="B49" s="7" t="s">
        <v>264</v>
      </c>
      <c r="C49" s="7" t="s">
        <v>283</v>
      </c>
      <c r="D49" s="7" t="s">
        <v>284</v>
      </c>
      <c r="E49" s="7" t="s">
        <v>176</v>
      </c>
      <c r="F49" s="7" t="s">
        <v>238</v>
      </c>
      <c r="G49" s="7" t="s">
        <v>285</v>
      </c>
      <c r="H49" s="8" t="s">
        <v>417</v>
      </c>
      <c r="I49" s="9"/>
    </row>
    <row r="50" spans="1:9" x14ac:dyDescent="0.25">
      <c r="A50" s="7" t="s">
        <v>286</v>
      </c>
      <c r="B50" s="7" t="s">
        <v>264</v>
      </c>
      <c r="C50" s="7" t="s">
        <v>287</v>
      </c>
      <c r="D50" s="7" t="s">
        <v>288</v>
      </c>
      <c r="E50" s="7" t="s">
        <v>176</v>
      </c>
      <c r="F50" s="7" t="s">
        <v>130</v>
      </c>
      <c r="G50" s="7" t="s">
        <v>163</v>
      </c>
      <c r="H50" s="8" t="s">
        <v>417</v>
      </c>
      <c r="I50" s="9"/>
    </row>
    <row r="51" spans="1:9" ht="25.5" x14ac:dyDescent="0.25">
      <c r="A51" s="7" t="s">
        <v>289</v>
      </c>
      <c r="B51" s="7" t="s">
        <v>264</v>
      </c>
      <c r="C51" s="7" t="s">
        <v>290</v>
      </c>
      <c r="D51" s="7" t="s">
        <v>291</v>
      </c>
      <c r="E51" s="7" t="s">
        <v>176</v>
      </c>
      <c r="F51" s="7" t="s">
        <v>130</v>
      </c>
      <c r="G51" s="7" t="s">
        <v>163</v>
      </c>
      <c r="H51" s="8" t="s">
        <v>420</v>
      </c>
      <c r="I51" s="9"/>
    </row>
    <row r="52" spans="1:9" x14ac:dyDescent="0.25">
      <c r="A52" s="7" t="s">
        <v>292</v>
      </c>
      <c r="B52" s="7" t="s">
        <v>264</v>
      </c>
      <c r="C52" s="7" t="s">
        <v>293</v>
      </c>
      <c r="D52" s="7" t="s">
        <v>294</v>
      </c>
      <c r="E52" s="7" t="s">
        <v>295</v>
      </c>
      <c r="F52" s="7" t="s">
        <v>130</v>
      </c>
      <c r="G52" s="7" t="s">
        <v>211</v>
      </c>
      <c r="H52" s="8" t="s">
        <v>419</v>
      </c>
      <c r="I52" s="9"/>
    </row>
    <row r="53" spans="1:9" x14ac:dyDescent="0.25">
      <c r="A53" s="7" t="s">
        <v>296</v>
      </c>
      <c r="B53" s="7" t="s">
        <v>264</v>
      </c>
      <c r="C53" s="7" t="s">
        <v>297</v>
      </c>
      <c r="D53" s="7" t="s">
        <v>298</v>
      </c>
      <c r="E53" s="7" t="s">
        <v>295</v>
      </c>
      <c r="F53" s="7" t="s">
        <v>130</v>
      </c>
      <c r="G53" s="7" t="s">
        <v>211</v>
      </c>
      <c r="H53" s="8" t="s">
        <v>419</v>
      </c>
      <c r="I53" s="9"/>
    </row>
    <row r="54" spans="1:9" x14ac:dyDescent="0.25">
      <c r="A54" s="7" t="s">
        <v>299</v>
      </c>
      <c r="B54" s="7" t="s">
        <v>264</v>
      </c>
      <c r="C54" s="7" t="s">
        <v>300</v>
      </c>
      <c r="D54" s="7" t="s">
        <v>301</v>
      </c>
      <c r="E54" s="7" t="s">
        <v>295</v>
      </c>
      <c r="F54" s="7" t="s">
        <v>238</v>
      </c>
      <c r="G54" s="7" t="s">
        <v>302</v>
      </c>
      <c r="H54" s="8" t="s">
        <v>418</v>
      </c>
      <c r="I54" s="9"/>
    </row>
    <row r="55" spans="1:9" ht="25.5" x14ac:dyDescent="0.25">
      <c r="A55" s="7" t="s">
        <v>303</v>
      </c>
      <c r="B55" s="7" t="s">
        <v>304</v>
      </c>
      <c r="C55" s="7" t="s">
        <v>305</v>
      </c>
      <c r="D55" s="7" t="s">
        <v>306</v>
      </c>
      <c r="E55" s="7" t="s">
        <v>162</v>
      </c>
      <c r="F55" s="7" t="s">
        <v>130</v>
      </c>
      <c r="G55" s="7" t="s">
        <v>163</v>
      </c>
      <c r="H55" s="8" t="s">
        <v>417</v>
      </c>
      <c r="I55" s="9"/>
    </row>
    <row r="56" spans="1:9" x14ac:dyDescent="0.25">
      <c r="A56" s="7" t="s">
        <v>307</v>
      </c>
      <c r="B56" s="7" t="s">
        <v>304</v>
      </c>
      <c r="C56" s="7" t="s">
        <v>308</v>
      </c>
      <c r="D56" s="7" t="s">
        <v>309</v>
      </c>
      <c r="E56" s="7" t="s">
        <v>176</v>
      </c>
      <c r="F56" s="7" t="s">
        <v>130</v>
      </c>
      <c r="G56" s="7" t="s">
        <v>163</v>
      </c>
      <c r="H56" s="8" t="s">
        <v>417</v>
      </c>
      <c r="I56" s="9"/>
    </row>
    <row r="57" spans="1:9" x14ac:dyDescent="0.25">
      <c r="A57" s="7" t="s">
        <v>310</v>
      </c>
      <c r="B57" s="7" t="s">
        <v>304</v>
      </c>
      <c r="C57" s="7" t="s">
        <v>311</v>
      </c>
      <c r="D57" s="7" t="s">
        <v>312</v>
      </c>
      <c r="E57" s="7" t="s">
        <v>176</v>
      </c>
      <c r="F57" s="7" t="s">
        <v>130</v>
      </c>
      <c r="G57" s="7" t="s">
        <v>313</v>
      </c>
      <c r="H57" s="8" t="s">
        <v>417</v>
      </c>
      <c r="I57" s="9"/>
    </row>
    <row r="58" spans="1:9" x14ac:dyDescent="0.25">
      <c r="A58" s="7" t="s">
        <v>314</v>
      </c>
      <c r="B58" s="7" t="s">
        <v>304</v>
      </c>
      <c r="C58" s="7" t="s">
        <v>315</v>
      </c>
      <c r="D58" s="7" t="s">
        <v>316</v>
      </c>
      <c r="E58" s="7" t="s">
        <v>295</v>
      </c>
      <c r="F58" s="7" t="s">
        <v>130</v>
      </c>
      <c r="G58" s="7" t="s">
        <v>211</v>
      </c>
      <c r="H58" s="8" t="s">
        <v>419</v>
      </c>
      <c r="I58" s="9"/>
    </row>
    <row r="59" spans="1:9" x14ac:dyDescent="0.25">
      <c r="A59" s="7" t="s">
        <v>317</v>
      </c>
      <c r="B59" s="7" t="s">
        <v>304</v>
      </c>
      <c r="C59" s="7" t="s">
        <v>318</v>
      </c>
      <c r="D59" s="7" t="s">
        <v>319</v>
      </c>
      <c r="E59" s="7" t="s">
        <v>295</v>
      </c>
      <c r="F59" s="7" t="s">
        <v>130</v>
      </c>
      <c r="G59" s="7" t="s">
        <v>211</v>
      </c>
      <c r="H59" s="8" t="s">
        <v>419</v>
      </c>
      <c r="I59" s="9"/>
    </row>
    <row r="60" spans="1:9" x14ac:dyDescent="0.25">
      <c r="A60" s="7" t="s">
        <v>320</v>
      </c>
      <c r="B60" s="7" t="s">
        <v>321</v>
      </c>
      <c r="C60" s="7" t="s">
        <v>322</v>
      </c>
      <c r="D60" s="7" t="s">
        <v>323</v>
      </c>
      <c r="E60" s="7" t="s">
        <v>176</v>
      </c>
      <c r="F60" s="7" t="s">
        <v>135</v>
      </c>
      <c r="G60" s="7" t="s">
        <v>163</v>
      </c>
      <c r="H60" s="8" t="s">
        <v>417</v>
      </c>
      <c r="I60" s="9"/>
    </row>
    <row r="61" spans="1:9" ht="25.5" x14ac:dyDescent="0.25">
      <c r="A61" s="7" t="s">
        <v>324</v>
      </c>
      <c r="B61" s="7" t="s">
        <v>321</v>
      </c>
      <c r="C61" s="7" t="s">
        <v>325</v>
      </c>
      <c r="D61" s="7" t="s">
        <v>326</v>
      </c>
      <c r="E61" s="7" t="s">
        <v>176</v>
      </c>
      <c r="F61" s="7" t="s">
        <v>238</v>
      </c>
      <c r="G61" s="7" t="s">
        <v>327</v>
      </c>
      <c r="H61" s="8" t="s">
        <v>417</v>
      </c>
      <c r="I61" s="9"/>
    </row>
    <row r="62" spans="1:9" x14ac:dyDescent="0.25">
      <c r="A62" s="7" t="s">
        <v>328</v>
      </c>
      <c r="B62" s="7" t="s">
        <v>321</v>
      </c>
      <c r="C62" s="7" t="s">
        <v>329</v>
      </c>
      <c r="D62" s="7" t="s">
        <v>330</v>
      </c>
      <c r="E62" s="7" t="s">
        <v>176</v>
      </c>
      <c r="F62" s="7" t="s">
        <v>130</v>
      </c>
      <c r="G62" s="7" t="s">
        <v>163</v>
      </c>
      <c r="H62" s="8" t="s">
        <v>417</v>
      </c>
      <c r="I62" s="9"/>
    </row>
    <row r="63" spans="1:9" ht="25.5" x14ac:dyDescent="0.25">
      <c r="A63" s="7" t="s">
        <v>331</v>
      </c>
      <c r="B63" s="7" t="s">
        <v>332</v>
      </c>
      <c r="C63" s="7" t="s">
        <v>333</v>
      </c>
      <c r="D63" s="7" t="s">
        <v>334</v>
      </c>
      <c r="E63" s="7" t="s">
        <v>176</v>
      </c>
      <c r="F63" s="7" t="s">
        <v>238</v>
      </c>
      <c r="G63" s="7" t="s">
        <v>163</v>
      </c>
      <c r="H63" s="8" t="s">
        <v>417</v>
      </c>
      <c r="I63" s="9"/>
    </row>
    <row r="64" spans="1:9" ht="25.5" x14ac:dyDescent="0.25">
      <c r="A64" s="7" t="s">
        <v>335</v>
      </c>
      <c r="B64" s="7" t="s">
        <v>332</v>
      </c>
      <c r="C64" s="7" t="s">
        <v>336</v>
      </c>
      <c r="D64" s="7" t="s">
        <v>337</v>
      </c>
      <c r="E64" s="7" t="s">
        <v>176</v>
      </c>
      <c r="F64" s="7" t="s">
        <v>130</v>
      </c>
      <c r="G64" s="7" t="s">
        <v>163</v>
      </c>
      <c r="H64" s="8" t="s">
        <v>417</v>
      </c>
      <c r="I64" s="9"/>
    </row>
    <row r="65" spans="1:9" ht="25.5" x14ac:dyDescent="0.25">
      <c r="A65" s="7" t="s">
        <v>338</v>
      </c>
      <c r="B65" s="7" t="s">
        <v>332</v>
      </c>
      <c r="C65" s="7" t="s">
        <v>339</v>
      </c>
      <c r="D65" s="7" t="s">
        <v>340</v>
      </c>
      <c r="E65" s="7" t="s">
        <v>176</v>
      </c>
      <c r="F65" s="7" t="s">
        <v>238</v>
      </c>
      <c r="G65" s="7" t="s">
        <v>163</v>
      </c>
      <c r="H65" s="8" t="s">
        <v>417</v>
      </c>
      <c r="I65" s="9"/>
    </row>
    <row r="66" spans="1:9" ht="25.5" x14ac:dyDescent="0.25">
      <c r="A66" s="7" t="s">
        <v>341</v>
      </c>
      <c r="B66" s="7" t="s">
        <v>332</v>
      </c>
      <c r="C66" s="7" t="s">
        <v>342</v>
      </c>
      <c r="D66" s="7" t="s">
        <v>343</v>
      </c>
      <c r="E66" s="7" t="s">
        <v>176</v>
      </c>
      <c r="F66" s="7" t="s">
        <v>130</v>
      </c>
      <c r="G66" s="7" t="s">
        <v>211</v>
      </c>
      <c r="H66" s="8" t="s">
        <v>419</v>
      </c>
      <c r="I66" s="9"/>
    </row>
    <row r="67" spans="1:9" ht="25.5" x14ac:dyDescent="0.25">
      <c r="A67" s="7" t="s">
        <v>344</v>
      </c>
      <c r="B67" s="7" t="s">
        <v>332</v>
      </c>
      <c r="C67" s="7" t="s">
        <v>345</v>
      </c>
      <c r="D67" s="7" t="s">
        <v>346</v>
      </c>
      <c r="E67" s="7" t="s">
        <v>295</v>
      </c>
      <c r="F67" s="7" t="s">
        <v>130</v>
      </c>
      <c r="G67" s="7" t="s">
        <v>211</v>
      </c>
      <c r="H67" s="8" t="s">
        <v>419</v>
      </c>
      <c r="I67" s="9"/>
    </row>
    <row r="68" spans="1:9" ht="25.5" x14ac:dyDescent="0.25">
      <c r="A68" s="7" t="s">
        <v>347</v>
      </c>
      <c r="B68" s="7" t="s">
        <v>348</v>
      </c>
      <c r="C68" s="7" t="s">
        <v>349</v>
      </c>
      <c r="D68" s="7" t="s">
        <v>350</v>
      </c>
      <c r="E68" s="7" t="s">
        <v>176</v>
      </c>
      <c r="F68" s="7" t="s">
        <v>135</v>
      </c>
      <c r="G68" s="7" t="s">
        <v>163</v>
      </c>
      <c r="H68" s="8" t="s">
        <v>417</v>
      </c>
      <c r="I68" s="9"/>
    </row>
    <row r="69" spans="1:9" ht="25.5" x14ac:dyDescent="0.25">
      <c r="A69" s="7" t="s">
        <v>351</v>
      </c>
      <c r="B69" s="7" t="s">
        <v>348</v>
      </c>
      <c r="C69" s="7" t="s">
        <v>352</v>
      </c>
      <c r="D69" s="7" t="s">
        <v>353</v>
      </c>
      <c r="E69" s="7" t="s">
        <v>176</v>
      </c>
      <c r="F69" s="7" t="s">
        <v>130</v>
      </c>
      <c r="G69" s="7" t="s">
        <v>163</v>
      </c>
      <c r="H69" s="8" t="s">
        <v>417</v>
      </c>
      <c r="I69" s="9"/>
    </row>
    <row r="70" spans="1:9" ht="25.5" x14ac:dyDescent="0.25">
      <c r="A70" s="7" t="s">
        <v>354</v>
      </c>
      <c r="B70" s="7" t="s">
        <v>348</v>
      </c>
      <c r="C70" s="7" t="s">
        <v>355</v>
      </c>
      <c r="D70" s="7" t="s">
        <v>356</v>
      </c>
      <c r="E70" s="7" t="s">
        <v>176</v>
      </c>
      <c r="F70" s="7" t="s">
        <v>135</v>
      </c>
      <c r="G70" s="7" t="s">
        <v>163</v>
      </c>
      <c r="H70" s="8" t="s">
        <v>417</v>
      </c>
      <c r="I70" s="9"/>
    </row>
    <row r="71" spans="1:9" ht="25.5" x14ac:dyDescent="0.25">
      <c r="A71" s="7" t="s">
        <v>357</v>
      </c>
      <c r="B71" s="7" t="s">
        <v>348</v>
      </c>
      <c r="C71" s="7" t="s">
        <v>358</v>
      </c>
      <c r="D71" s="7" t="s">
        <v>359</v>
      </c>
      <c r="E71" s="7" t="s">
        <v>176</v>
      </c>
      <c r="F71" s="7" t="s">
        <v>130</v>
      </c>
      <c r="G71" s="7" t="s">
        <v>163</v>
      </c>
      <c r="H71" s="8" t="s">
        <v>417</v>
      </c>
      <c r="I71" s="9"/>
    </row>
    <row r="72" spans="1:9" ht="25.5" x14ac:dyDescent="0.25">
      <c r="A72" s="7" t="s">
        <v>360</v>
      </c>
      <c r="B72" s="7" t="s">
        <v>348</v>
      </c>
      <c r="C72" s="7" t="s">
        <v>361</v>
      </c>
      <c r="D72" s="7" t="s">
        <v>362</v>
      </c>
      <c r="E72" s="7" t="s">
        <v>176</v>
      </c>
      <c r="F72" s="7" t="s">
        <v>238</v>
      </c>
      <c r="G72" s="7" t="s">
        <v>163</v>
      </c>
      <c r="H72" s="8" t="s">
        <v>417</v>
      </c>
      <c r="I72" s="9"/>
    </row>
    <row r="73" spans="1:9" ht="25.5" x14ac:dyDescent="0.25">
      <c r="A73" s="7" t="s">
        <v>363</v>
      </c>
      <c r="B73" s="7" t="s">
        <v>348</v>
      </c>
      <c r="C73" s="7" t="s">
        <v>364</v>
      </c>
      <c r="D73" s="7" t="s">
        <v>365</v>
      </c>
      <c r="E73" s="7" t="s">
        <v>176</v>
      </c>
      <c r="F73" s="7" t="s">
        <v>366</v>
      </c>
      <c r="G73" s="7" t="s">
        <v>163</v>
      </c>
      <c r="H73" s="8" t="s">
        <v>417</v>
      </c>
      <c r="I73" s="9"/>
    </row>
    <row r="74" spans="1:9" ht="25.5" x14ac:dyDescent="0.25">
      <c r="A74" s="7" t="s">
        <v>367</v>
      </c>
      <c r="B74" s="7" t="s">
        <v>348</v>
      </c>
      <c r="C74" s="7" t="s">
        <v>368</v>
      </c>
      <c r="D74" s="7" t="s">
        <v>369</v>
      </c>
      <c r="E74" s="7" t="s">
        <v>295</v>
      </c>
      <c r="F74" s="7" t="s">
        <v>130</v>
      </c>
      <c r="G74" s="7" t="s">
        <v>211</v>
      </c>
      <c r="H74" s="8" t="s">
        <v>419</v>
      </c>
      <c r="I74" s="9"/>
    </row>
    <row r="75" spans="1:9" ht="25.5" x14ac:dyDescent="0.25">
      <c r="A75" s="7" t="s">
        <v>370</v>
      </c>
      <c r="B75" s="7" t="s">
        <v>371</v>
      </c>
      <c r="C75" s="7" t="s">
        <v>372</v>
      </c>
      <c r="D75" s="7" t="s">
        <v>373</v>
      </c>
      <c r="E75" s="7" t="s">
        <v>162</v>
      </c>
      <c r="F75" s="7" t="s">
        <v>135</v>
      </c>
      <c r="G75" s="7" t="s">
        <v>163</v>
      </c>
      <c r="H75" s="8" t="s">
        <v>417</v>
      </c>
      <c r="I75" s="9"/>
    </row>
    <row r="76" spans="1:9" x14ac:dyDescent="0.25">
      <c r="A76" s="7" t="s">
        <v>374</v>
      </c>
      <c r="B76" s="7" t="s">
        <v>371</v>
      </c>
      <c r="C76" s="7" t="s">
        <v>375</v>
      </c>
      <c r="D76" s="7" t="s">
        <v>376</v>
      </c>
      <c r="E76" s="7" t="s">
        <v>162</v>
      </c>
      <c r="F76" s="7" t="s">
        <v>130</v>
      </c>
      <c r="G76" s="7" t="s">
        <v>163</v>
      </c>
      <c r="H76" s="8" t="s">
        <v>417</v>
      </c>
      <c r="I76" s="9"/>
    </row>
    <row r="77" spans="1:9" ht="25.5" x14ac:dyDescent="0.25">
      <c r="A77" s="7" t="s">
        <v>377</v>
      </c>
      <c r="B77" s="7" t="s">
        <v>371</v>
      </c>
      <c r="C77" s="7" t="s">
        <v>378</v>
      </c>
      <c r="D77" s="7" t="s">
        <v>379</v>
      </c>
      <c r="E77" s="7" t="s">
        <v>162</v>
      </c>
      <c r="F77" s="7" t="s">
        <v>130</v>
      </c>
      <c r="G77" s="7" t="s">
        <v>163</v>
      </c>
      <c r="H77" s="8" t="s">
        <v>417</v>
      </c>
      <c r="I77" s="9"/>
    </row>
    <row r="78" spans="1:9" x14ac:dyDescent="0.25">
      <c r="A78" s="7" t="s">
        <v>380</v>
      </c>
      <c r="B78" s="7" t="s">
        <v>371</v>
      </c>
      <c r="C78" s="7" t="s">
        <v>381</v>
      </c>
      <c r="D78" s="7" t="s">
        <v>382</v>
      </c>
      <c r="E78" s="7" t="s">
        <v>176</v>
      </c>
      <c r="F78" s="7" t="s">
        <v>238</v>
      </c>
      <c r="G78" s="7" t="s">
        <v>163</v>
      </c>
      <c r="H78" s="8" t="s">
        <v>417</v>
      </c>
      <c r="I78" s="9"/>
    </row>
    <row r="79" spans="1:9" ht="38.25" x14ac:dyDescent="0.25">
      <c r="A79" s="7" t="s">
        <v>383</v>
      </c>
      <c r="B79" s="7" t="s">
        <v>371</v>
      </c>
      <c r="C79" s="7" t="s">
        <v>384</v>
      </c>
      <c r="D79" s="7" t="s">
        <v>385</v>
      </c>
      <c r="E79" s="7" t="s">
        <v>176</v>
      </c>
      <c r="F79" s="7" t="s">
        <v>139</v>
      </c>
      <c r="G79" s="7" t="s">
        <v>163</v>
      </c>
      <c r="H79" s="8" t="s">
        <v>417</v>
      </c>
      <c r="I79" s="9"/>
    </row>
    <row r="80" spans="1:9" x14ac:dyDescent="0.25">
      <c r="A80" s="7" t="s">
        <v>386</v>
      </c>
      <c r="B80" s="7" t="s">
        <v>387</v>
      </c>
      <c r="C80" s="7" t="s">
        <v>388</v>
      </c>
      <c r="D80" s="7" t="s">
        <v>389</v>
      </c>
      <c r="E80" s="7" t="s">
        <v>162</v>
      </c>
      <c r="F80" s="7" t="s">
        <v>139</v>
      </c>
      <c r="G80" s="7" t="s">
        <v>390</v>
      </c>
      <c r="H80" s="8" t="s">
        <v>417</v>
      </c>
      <c r="I80" s="9"/>
    </row>
    <row r="81" spans="1:9" x14ac:dyDescent="0.25">
      <c r="A81" s="7" t="s">
        <v>391</v>
      </c>
      <c r="B81" s="7" t="s">
        <v>387</v>
      </c>
      <c r="C81" s="7" t="s">
        <v>392</v>
      </c>
      <c r="D81" s="7" t="s">
        <v>393</v>
      </c>
      <c r="E81" s="7" t="s">
        <v>162</v>
      </c>
      <c r="F81" s="7" t="s">
        <v>135</v>
      </c>
      <c r="G81" s="7" t="s">
        <v>163</v>
      </c>
      <c r="H81" s="8" t="s">
        <v>417</v>
      </c>
      <c r="I81" s="9"/>
    </row>
    <row r="82" spans="1:9" x14ac:dyDescent="0.25">
      <c r="A82" s="7" t="s">
        <v>394</v>
      </c>
      <c r="B82" s="7" t="s">
        <v>387</v>
      </c>
      <c r="C82" s="7" t="s">
        <v>395</v>
      </c>
      <c r="D82" s="7" t="s">
        <v>396</v>
      </c>
      <c r="E82" s="7" t="s">
        <v>295</v>
      </c>
      <c r="F82" s="7" t="s">
        <v>149</v>
      </c>
      <c r="G82" s="7" t="s">
        <v>163</v>
      </c>
      <c r="H82" s="8" t="s">
        <v>417</v>
      </c>
      <c r="I82" s="9"/>
    </row>
    <row r="83" spans="1:9" x14ac:dyDescent="0.25">
      <c r="A83" s="7" t="s">
        <v>397</v>
      </c>
      <c r="B83" s="7" t="s">
        <v>387</v>
      </c>
      <c r="C83" s="7" t="s">
        <v>398</v>
      </c>
      <c r="D83" s="7" t="s">
        <v>399</v>
      </c>
      <c r="E83" s="7" t="s">
        <v>176</v>
      </c>
      <c r="F83" s="7" t="s">
        <v>130</v>
      </c>
      <c r="G83" s="7" t="s">
        <v>400</v>
      </c>
      <c r="H83" s="8" t="s">
        <v>417</v>
      </c>
      <c r="I83" s="9"/>
    </row>
    <row r="84" spans="1:9" x14ac:dyDescent="0.25">
      <c r="A84" s="7" t="s">
        <v>401</v>
      </c>
      <c r="B84" s="7" t="s">
        <v>387</v>
      </c>
      <c r="C84" s="7" t="s">
        <v>402</v>
      </c>
      <c r="D84" s="7" t="s">
        <v>403</v>
      </c>
      <c r="E84" s="7" t="s">
        <v>295</v>
      </c>
      <c r="F84" s="7" t="s">
        <v>404</v>
      </c>
      <c r="G84" s="7" t="s">
        <v>211</v>
      </c>
      <c r="H84" s="8" t="s">
        <v>419</v>
      </c>
      <c r="I84" s="9"/>
    </row>
    <row r="85" spans="1:9" x14ac:dyDescent="0.25">
      <c r="A85" s="7" t="s">
        <v>405</v>
      </c>
      <c r="B85" s="7" t="s">
        <v>387</v>
      </c>
      <c r="C85" s="7" t="s">
        <v>406</v>
      </c>
      <c r="D85" s="7" t="s">
        <v>407</v>
      </c>
      <c r="E85" s="7" t="s">
        <v>295</v>
      </c>
      <c r="F85" s="7" t="s">
        <v>135</v>
      </c>
      <c r="G85" s="7" t="s">
        <v>163</v>
      </c>
      <c r="H85" s="8" t="s">
        <v>417</v>
      </c>
      <c r="I85" s="9"/>
    </row>
    <row r="86" spans="1:9" ht="25.5" x14ac:dyDescent="0.25">
      <c r="A86" s="7" t="s">
        <v>408</v>
      </c>
      <c r="B86" s="7" t="s">
        <v>387</v>
      </c>
      <c r="C86" s="7" t="s">
        <v>409</v>
      </c>
      <c r="D86" s="7" t="s">
        <v>410</v>
      </c>
      <c r="E86" s="7" t="s">
        <v>295</v>
      </c>
      <c r="F86" s="7" t="s">
        <v>366</v>
      </c>
      <c r="G86" s="7" t="s">
        <v>411</v>
      </c>
      <c r="H86" s="8" t="s">
        <v>418</v>
      </c>
      <c r="I86" s="9"/>
    </row>
  </sheetData>
  <autoFilter ref="A1:I86" xr:uid="{00000000-0009-0000-0000-000002000000}"/>
  <dataValidations count="1">
    <dataValidation type="list" allowBlank="1" showErrorMessage="1" errorTitle="Listeden seç" error="Lütfen açılır listeden bir seçenek seç (açıklamayı Not sütununa yazabilirsin)." sqref="H2:H86" xr:uid="{00000000-0002-0000-0200-000000000000}">
      <formula1>"Önerine uyuyorum,Evet (yapılsın),Hayır (yapılmasın),Daha sonra"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Nasıl doldurulur</vt:lpstr>
      <vt:lpstr>Kararlar</vt:lpstr>
      <vt:lpstr>Maddeler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2026-10-13T17:11:34Z</dcterms:created>
  <dcterms:modified xsi:type="dcterms:W3CDTF">2026-10-13T18:45:41Z</dcterms:modified>
  <cp:category/>
</cp:coreProperties>
</file>